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Institution" sheetId="2" state="visible" r:id="rId2"/>
    <sheet xmlns:r="http://schemas.openxmlformats.org/officeDocument/2006/relationships" name="2 Admin Leaders" sheetId="3" state="visible" r:id="rId3"/>
    <sheet xmlns:r="http://schemas.openxmlformats.org/officeDocument/2006/relationships" name="3 President" sheetId="4" state="visible" r:id="rId4"/>
    <sheet xmlns:r="http://schemas.openxmlformats.org/officeDocument/2006/relationships" name="4 Additional" sheetId="5" state="visible" r:id="rId5"/>
    <sheet xmlns:r="http://schemas.openxmlformats.org/officeDocument/2006/relationships" name="Export" sheetId="6" state="hidden"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01344B"/>
      <sz val="16"/>
    </font>
    <font>
      <name val="Arial"/>
      <i val="1"/>
      <color rgb="006B7780"/>
      <sz val="9"/>
    </font>
    <font>
      <name val="Arial"/>
      <b val="1"/>
      <color rgb="00FFFFFF"/>
      <sz val="10"/>
    </font>
    <font>
      <name val="Arial"/>
      <sz val="10"/>
    </font>
    <font>
      <name val="Arial"/>
      <b val="1"/>
      <sz val="10"/>
    </font>
    <font>
      <name val="Arial"/>
      <i val="1"/>
      <color rgb="006B7780"/>
      <sz val="10"/>
    </font>
    <font>
      <name val="Arial"/>
      <b val="1"/>
      <color rgb="0001344B"/>
      <sz val="10"/>
    </font>
    <font>
      <name val="Arial"/>
      <b val="1"/>
      <color rgb="0001344B"/>
      <sz val="12"/>
    </font>
  </fonts>
  <fills count="5">
    <fill>
      <patternFill/>
    </fill>
    <fill>
      <patternFill patternType="gray125"/>
    </fill>
    <fill>
      <patternFill patternType="solid">
        <fgColor rgb="0001344B"/>
      </patternFill>
    </fill>
    <fill>
      <patternFill patternType="solid">
        <fgColor rgb="00FFF6D6"/>
      </patternFill>
    </fill>
    <fill>
      <patternFill patternType="solid">
        <fgColor rgb="00E6EBED"/>
      </patternFill>
    </fill>
  </fills>
  <borders count="2">
    <border>
      <left/>
      <right/>
      <top/>
      <bottom/>
      <diagonal/>
    </border>
    <border>
      <left style="thin">
        <color rgb="00A3ADB4"/>
      </left>
      <right style="thin">
        <color rgb="00A3ADB4"/>
      </right>
      <top style="thin">
        <color rgb="00A3ADB4"/>
      </top>
      <bottom style="thin">
        <color rgb="00A3ADB4"/>
      </bottom>
    </border>
  </borders>
  <cellStyleXfs count="1">
    <xf numFmtId="0" fontId="0" fillId="0" borderId="0"/>
  </cellStyleXfs>
  <cellXfs count="22">
    <xf numFmtId="0" fontId="0" fillId="0" borderId="0" pivotButton="0" quotePrefix="0" xfId="0"/>
    <xf numFmtId="0" fontId="1" fillId="0" borderId="0" pivotButton="0" quotePrefix="0" xfId="0"/>
    <xf numFmtId="0" fontId="8" fillId="0" borderId="0" pivotButton="0" quotePrefix="0" xfId="0"/>
    <xf numFmtId="0" fontId="2" fillId="0" borderId="0" pivotButton="0" quotePrefix="0" xfId="0"/>
    <xf numFmtId="0" fontId="7" fillId="4" borderId="0" pivotButton="0" quotePrefix="0" xfId="0"/>
    <xf numFmtId="0" fontId="0" fillId="4" borderId="0" pivotButton="0" quotePrefix="0" xfId="0"/>
    <xf numFmtId="0" fontId="4" fillId="0" borderId="0" applyAlignment="1" pivotButton="0" quotePrefix="0" xfId="0">
      <alignment vertical="top" wrapText="1"/>
    </xf>
    <xf numFmtId="0" fontId="3" fillId="2" borderId="1" applyAlignment="1" pivotButton="0" quotePrefix="0" xfId="0">
      <alignment vertical="top" wrapText="1"/>
    </xf>
    <xf numFmtId="0" fontId="3" fillId="2" borderId="1" applyAlignment="1" pivotButton="0" quotePrefix="0" xfId="0">
      <alignment horizontal="center"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top" wrapText="1"/>
    </xf>
    <xf numFmtId="49" fontId="4" fillId="3" borderId="1" applyAlignment="1" applyProtection="1" pivotButton="0" quotePrefix="0" xfId="0">
      <alignment vertical="top" wrapText="1"/>
      <protection locked="0" hidden="0"/>
    </xf>
    <xf numFmtId="49" fontId="6" fillId="0" borderId="1" applyAlignment="1" pivotButton="0" quotePrefix="0" xfId="0">
      <alignment horizontal="left" vertical="top" wrapText="1"/>
    </xf>
    <xf numFmtId="3" fontId="4" fillId="3" borderId="1" applyAlignment="1" applyProtection="1" pivotButton="0" quotePrefix="0" xfId="0">
      <alignment vertical="top" wrapText="1"/>
      <protection locked="0" hidden="0"/>
    </xf>
    <xf numFmtId="3" fontId="6" fillId="0" borderId="1" applyAlignment="1" pivotButton="0" quotePrefix="0" xfId="0">
      <alignment horizontal="left" vertical="top" wrapText="1"/>
    </xf>
    <xf numFmtId="164" fontId="4" fillId="3" borderId="1" applyAlignment="1" applyProtection="1" pivotButton="0" quotePrefix="0" xfId="0">
      <alignment vertical="top" wrapText="1"/>
      <protection locked="0" hidden="0"/>
    </xf>
    <xf numFmtId="164" fontId="6" fillId="0" borderId="1" applyAlignment="1" pivotButton="0" quotePrefix="0" xfId="0">
      <alignment horizontal="left" vertical="top" wrapText="1"/>
    </xf>
    <xf numFmtId="0" fontId="6" fillId="0" borderId="1" applyAlignment="1" pivotButton="0" quotePrefix="0" xfId="0">
      <alignment vertical="top" wrapText="1"/>
    </xf>
    <xf numFmtId="3" fontId="6" fillId="0" borderId="1" applyAlignment="1" pivotButton="0" quotePrefix="0" xfId="0">
      <alignment vertical="top" wrapText="1"/>
    </xf>
    <xf numFmtId="0" fontId="5" fillId="0" borderId="0" pivotButton="0" quotePrefix="0" xfId="0"/>
    <xf numFmtId="0" fontId="4" fillId="0" borderId="0" pivotButton="0" quotePrefix="0" xfId="0"/>
  </cellXfs>
  <cellStyles count="1">
    <cellStyle name="Normal" xfId="0" builtinId="0" hidden="0"/>
  </cellStyles>
  <dxfs count="5">
    <dxf>
      <font>
        <name val="Arial"/>
        <b val="1"/>
        <color rgb="001B7F3B"/>
        <sz val="10"/>
      </font>
    </dxf>
    <dxf>
      <font>
        <name val="Arial"/>
        <b val="1"/>
        <color rgb="00B3261E"/>
        <sz val="10"/>
      </font>
      <fill>
        <patternFill patternType="solid">
          <fgColor rgb="00FBE9E7"/>
          <bgColor rgb="00FBE9E7"/>
        </patternFill>
      </fill>
    </dxf>
    <dxf>
      <font>
        <name val="Arial"/>
        <b val="1"/>
        <color rgb="008A5A00"/>
        <sz val="10"/>
      </font>
      <fill>
        <patternFill patternType="solid">
          <fgColor rgb="00FFF1CC"/>
          <bgColor rgb="00FFF1CC"/>
        </patternFill>
      </fill>
    </dxf>
    <dxf>
      <font>
        <name val="Arial"/>
        <b val="1"/>
        <color rgb="006B7780"/>
        <sz val="10"/>
      </font>
    </dxf>
    <dxf>
      <font>
        <name val="Arial"/>
        <b val="1"/>
        <color rgb="00A3ADB4"/>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30" customWidth="1" min="1" max="1"/>
    <col width="54" customWidth="1" min="2" max="2"/>
    <col width="14" customWidth="1" min="3" max="3"/>
    <col width="14" customWidth="1" min="4" max="4"/>
    <col width="14" customWidth="1" min="5" max="5"/>
  </cols>
  <sheetData>
    <row r="1">
      <c r="A1" s="1" t="inlineStr">
        <is>
          <t>ABACC Annual Compensation Survey 2026</t>
        </is>
      </c>
    </row>
    <row r="2">
      <c r="A2" s="2" t="inlineStr">
        <is>
          <t>Data Collection Worksheet</t>
        </is>
      </c>
    </row>
    <row r="3">
      <c r="A3" s="3" t="inlineStr">
        <is>
          <t>Administered by the Casagrande Institute, in collaboration with ABACC.</t>
        </is>
      </c>
    </row>
    <row r="5">
      <c r="A5" s="4" t="inlineStr">
        <is>
          <t>What this is</t>
        </is>
      </c>
      <c r="B5" s="5" t="n"/>
      <c r="C5" s="5" t="n"/>
      <c r="D5" s="5" t="n"/>
      <c r="E5" s="5" t="n"/>
    </row>
    <row r="6" ht="32" customHeight="1">
      <c r="A6" s="6" t="inlineStr">
        <is>
          <t>The survey asks for figures that often sit in different offices. Use this worksheet to collect them first, then enter them in the online survey in one sitting. The survey also lets you attach the completed worksheet (optional).</t>
        </is>
      </c>
    </row>
    <row r="8">
      <c r="A8" s="4" t="inlineStr">
        <is>
          <t>How to use it</t>
        </is>
      </c>
      <c r="B8" s="5" t="n"/>
      <c r="C8" s="5" t="n"/>
      <c r="D8" s="5" t="n"/>
      <c r="E8" s="5" t="n"/>
    </row>
    <row r="9" ht="18.5" customHeight="1">
      <c r="A9" s="6" t="inlineStr">
        <is>
          <t>1. Share this file with the colleagues who hold each set of figures. The table below shows who usually has what.</t>
        </is>
      </c>
    </row>
    <row r="10" ht="18.5" customHeight="1">
      <c r="A10" s="6" t="inlineStr">
        <is>
          <t>2. Enter values only in the shaded cells. Every other cell is locked.</t>
        </is>
      </c>
    </row>
    <row r="11" ht="45.5" customHeight="1">
      <c r="A11" s="6" t="inlineStr">
        <is>
          <t>3. Watch the Check column. OK means the entry is complete. To do means it is still blank. Check means the entry cannot be right (not a number, negative, or an unneeded entry). Confirm means the value is outside the expected range or otherwise unusual - it is allowed, but make sure it is right. The survey applies the same checks.</t>
        </is>
      </c>
    </row>
    <row r="12" ht="32" customHeight="1">
      <c r="A12" s="6" t="inlineStr">
        <is>
          <t>4. When every section shows nothing left to do, open your survey link (sent Monday, October 19, 2026) and type in the values. The survey asks the same questions in the same order.</t>
        </is>
      </c>
    </row>
    <row r="13" ht="32" customHeight="1">
      <c r="A13" s="6" t="inlineStr">
        <is>
          <t>5. In the survey, type numbers without commas, dollar signs, or percent signs. This worksheet adds commas for you so large numbers are easier to read.</t>
        </is>
      </c>
    </row>
    <row r="14" ht="18.5" customHeight="1">
      <c r="A14" s="6" t="inlineStr">
        <is>
          <t>6. Submit the survey by Friday, November 6, 2026.</t>
        </is>
      </c>
    </row>
    <row r="16">
      <c r="A16" s="4" t="inlineStr">
        <is>
          <t>Reference dates</t>
        </is>
      </c>
      <c r="B16" s="5" t="n"/>
      <c r="C16" s="5" t="n"/>
      <c r="D16" s="5" t="n"/>
      <c r="E16" s="5" t="n"/>
    </row>
    <row r="17" ht="18.5" customHeight="1">
      <c r="A17" s="6" t="inlineStr">
        <is>
          <t>Salaries, roles, and contract provisions: as of October 1, 2026.</t>
        </is>
      </c>
    </row>
    <row r="18" ht="18.5" customHeight="1">
      <c r="A18" s="6" t="inlineStr">
        <is>
          <t>Endowment and expenses: the most recently completed fiscal year (FY 2025-26). Bonus paid: for FY 2025-26.</t>
        </is>
      </c>
    </row>
    <row r="19" ht="18.5" customHeight="1">
      <c r="A19" s="6" t="inlineStr">
        <is>
          <t>Last fiscal year means FY 2025-26. Current fiscal year means FY 2026-27. Student FTE: Fall 2026.</t>
        </is>
      </c>
    </row>
    <row r="20" ht="18.5" customHeight="1">
      <c r="A20" s="6" t="inlineStr">
        <is>
          <t>If your fiscal year runs January to December, your last fiscal year is calendar 2025 and your current fiscal year is calendar 2026.</t>
        </is>
      </c>
    </row>
    <row r="22">
      <c r="A22" s="4" t="inlineStr">
        <is>
          <t>Progress</t>
        </is>
      </c>
      <c r="B22" s="5" t="n"/>
      <c r="C22" s="5" t="n"/>
      <c r="D22" s="5" t="n"/>
      <c r="E22" s="5" t="n"/>
    </row>
    <row r="23">
      <c r="A23" s="7" t="inlineStr">
        <is>
          <t>Section</t>
        </is>
      </c>
      <c r="B23" s="7" t="inlineStr">
        <is>
          <t>Usually held by</t>
        </is>
      </c>
      <c r="C23" s="8" t="inlineStr">
        <is>
          <t>Complete</t>
        </is>
      </c>
      <c r="D23" s="8" t="inlineStr">
        <is>
          <t>To do</t>
        </is>
      </c>
      <c r="E23" s="8" t="inlineStr">
        <is>
          <t>To review</t>
        </is>
      </c>
    </row>
    <row r="24">
      <c r="A24" s="9" t="inlineStr">
        <is>
          <t>1 Institution</t>
        </is>
      </c>
      <c r="B24" s="10" t="inlineStr">
        <is>
          <t>Finance; Registrar or Institutional Research for student FTE</t>
        </is>
      </c>
      <c r="C24" s="11">
        <f>COUNTIF('1 Institution'!$G$6:$G$15,"OK")+COUNTIF('1 Institution'!$G$6:$G$15,"Not needed")</f>
        <v/>
      </c>
      <c r="D24" s="11">
        <f>COUNTIF('1 Institution'!$G$6:$G$15,"To do")+COUNTIF('1 Institution'!$G$6:$G$15,"Answer*")</f>
        <v/>
      </c>
      <c r="E24" s="11">
        <f>COUNTIF('1 Institution'!$G$6:$G$15,"Check*")+COUNTIF('1 Institution'!$G$6:$G$15,"Confirm*")</f>
        <v/>
      </c>
    </row>
    <row r="25">
      <c r="A25" s="9" t="inlineStr">
        <is>
          <t>2 Admin Leaders</t>
        </is>
      </c>
      <c r="B25" s="10" t="inlineStr">
        <is>
          <t>Human Resources</t>
        </is>
      </c>
      <c r="C25" s="11">
        <f>COUNTIF('2 Admin Leaders'!$I$11:$I$24,"OK")+COUNTIF('2 Admin Leaders'!$I$11:$I$24,"Not needed")</f>
        <v/>
      </c>
      <c r="D25" s="11">
        <f>COUNTIF('2 Admin Leaders'!$I$11:$I$24,"To do")+COUNTIF('2 Admin Leaders'!$I$11:$I$24,"Answer*")</f>
        <v/>
      </c>
      <c r="E25" s="11">
        <f>COUNTIF('2 Admin Leaders'!$I$11:$I$24,"Check*")+COUNTIF('2 Admin Leaders'!$I$11:$I$24,"Confirm*")</f>
        <v/>
      </c>
    </row>
    <row r="26">
      <c r="A26" s="9" t="inlineStr">
        <is>
          <t>3 President</t>
        </is>
      </c>
      <c r="B26" s="10" t="inlineStr">
        <is>
          <t>Human Resources, the President's office, or the Board</t>
        </is>
      </c>
      <c r="C26" s="11">
        <f>COUNTIF('3 President'!$G$7:$G$41,"OK")+COUNTIF('3 President'!$G$7:$G$41,"Not needed")</f>
        <v/>
      </c>
      <c r="D26" s="11">
        <f>COUNTIF('3 President'!$G$7:$G$41,"To do")+COUNTIF('3 President'!$G$7:$G$41,"Answer*")</f>
        <v/>
      </c>
      <c r="E26" s="11">
        <f>COUNTIF('3 President'!$G$7:$G$41,"Check*")+COUNTIF('3 President'!$G$7:$G$41,"Confirm*")</f>
        <v/>
      </c>
    </row>
    <row r="27">
      <c r="A27" s="9" t="inlineStr">
        <is>
          <t>4 Additional</t>
        </is>
      </c>
      <c r="B27" s="10" t="inlineStr">
        <is>
          <t>President's office; Human Resources</t>
        </is>
      </c>
      <c r="C27" s="11">
        <f>COUNTIF('4 Additional'!$G$6:$G$9,"OK")+COUNTIF('4 Additional'!$G$6:$G$9,"Not needed")</f>
        <v/>
      </c>
      <c r="D27" s="11">
        <f>COUNTIF('4 Additional'!$G$6:$G$9,"To do")+COUNTIF('4 Additional'!$G$6:$G$9,"Answer*")</f>
        <v/>
      </c>
      <c r="E27" s="11">
        <f>COUNTIF('4 Additional'!$G$6:$G$9,"Check*")+COUNTIF('4 Additional'!$G$6:$G$9,"Confirm*")</f>
        <v/>
      </c>
    </row>
    <row r="29">
      <c r="A29" s="4" t="inlineStr">
        <is>
          <t>Confidentiality</t>
        </is>
      </c>
      <c r="B29" s="5" t="n"/>
      <c r="C29" s="5" t="n"/>
      <c r="D29" s="5" t="n"/>
      <c r="E29" s="5" t="n"/>
    </row>
    <row r="30" ht="32" customHeight="1">
      <c r="A30" s="6" t="inlineStr">
        <is>
          <t>Survey responses are confidential. The Casagrande Institute does not disclose individual responses to anyone, including ABACC. Results are reported only in summary, and never for a group of fewer than five institutions.</t>
        </is>
      </c>
    </row>
    <row r="32">
      <c r="A32" s="4" t="inlineStr">
        <is>
          <t>Questions</t>
        </is>
      </c>
      <c r="B32" s="5" t="n"/>
      <c r="C32" s="5" t="n"/>
      <c r="D32" s="5" t="n"/>
      <c r="E32" s="5" t="n"/>
    </row>
    <row r="33" ht="18.5" customHeight="1">
      <c r="A33" s="6" t="inlineStr">
        <is>
          <t>David J. Bauer, Ph.D., Director, Casagrande Institute - djbauer@viterbo.edu - 608-796-3617</t>
        </is>
      </c>
    </row>
  </sheetData>
  <sheetProtection selectLockedCells="0" selectUnlockedCells="0" sheet="1" objects="0" insertRows="1" insertHyperlinks="1" autoFilter="1" scenarios="0" formatColumns="0" deleteColumns="1" insertColumns="1" pivotTables="1" deleteRows="1" formatCells="1" formatRows="0" sort="1" password="D869"/>
  <mergeCells count="13">
    <mergeCell ref="A30:E30"/>
    <mergeCell ref="A12:E12"/>
    <mergeCell ref="A18:E18"/>
    <mergeCell ref="A20:E20"/>
    <mergeCell ref="A10:E10"/>
    <mergeCell ref="A19:E19"/>
    <mergeCell ref="A11:E11"/>
    <mergeCell ref="A33:E33"/>
    <mergeCell ref="A13:E13"/>
    <mergeCell ref="A14:E14"/>
    <mergeCell ref="A6:E6"/>
    <mergeCell ref="A17:E17"/>
    <mergeCell ref="A9:E9"/>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15"/>
  <sheetViews>
    <sheetView workbookViewId="0">
      <pane ySplit="5" topLeftCell="A6" activePane="bottomLeft" state="frozen"/>
      <selection pane="bottomLeft" activeCell="A1" sqref="A1"/>
    </sheetView>
  </sheetViews>
  <sheetFormatPr baseColWidth="8" defaultRowHeight="15"/>
  <cols>
    <col width="7" customWidth="1" min="1" max="1"/>
    <col width="58" customWidth="1" min="2" max="2"/>
    <col width="24" customWidth="1" min="3" max="3"/>
    <col width="42" customWidth="1" min="4" max="4"/>
    <col width="18" customWidth="1" min="5" max="5"/>
    <col width="26" customWidth="1" min="6" max="6"/>
    <col width="40" customWidth="1" min="7" max="7"/>
  </cols>
  <sheetData>
    <row r="1">
      <c r="A1" s="1" t="inlineStr">
        <is>
          <t>Section 1: Institutional Data</t>
        </is>
      </c>
    </row>
    <row r="2">
      <c r="A2" s="3" t="inlineStr">
        <is>
          <t>Used to group institutions for reporting. Individual values are never reported, and any reported group includes at least five institutions. If your fiscal year runs January to December, your last fiscal year is calendar 2025 and your current fiscal year is calendar 2026.</t>
        </is>
      </c>
    </row>
    <row r="3">
      <c r="A3" s="3" t="inlineStr">
        <is>
          <t>Enter values only in the shaded cells in column C. Column G tells you whether each entry is complete.</t>
        </is>
      </c>
    </row>
    <row r="5">
      <c r="A5" s="7" t="inlineStr">
        <is>
          <t>Item</t>
        </is>
      </c>
      <c r="B5" s="7" t="inlineStr">
        <is>
          <t>Question</t>
        </is>
      </c>
      <c r="C5" s="7" t="inlineStr">
        <is>
          <t>Your entry</t>
        </is>
      </c>
      <c r="D5" s="7" t="inlineStr">
        <is>
          <t>How to enter</t>
        </is>
      </c>
      <c r="E5" s="7" t="inlineStr">
        <is>
          <t>Example</t>
        </is>
      </c>
      <c r="F5" s="7" t="inlineStr">
        <is>
          <t>Usually held by</t>
        </is>
      </c>
      <c r="G5" s="7" t="inlineStr">
        <is>
          <t>Check</t>
        </is>
      </c>
    </row>
    <row r="6" ht="18.5" customHeight="1">
      <c r="A6" s="9" t="inlineStr">
        <is>
          <t>1.1</t>
        </is>
      </c>
      <c r="B6" s="10" t="inlineStr">
        <is>
          <t>Highest degree granted</t>
        </is>
      </c>
      <c r="C6" s="12" t="n"/>
      <c r="D6" s="10" t="inlineStr">
        <is>
          <t>Choose from the list.</t>
        </is>
      </c>
      <c r="E6" s="13" t="inlineStr">
        <is>
          <t>Master's</t>
        </is>
      </c>
      <c r="F6" s="10" t="inlineStr">
        <is>
          <t>Finance / Registrar</t>
        </is>
      </c>
      <c r="G6" s="10">
        <f>IF(C6="","To do","OK")</f>
        <v/>
      </c>
    </row>
    <row r="7" ht="18.5" customHeight="1">
      <c r="A7" s="9" t="inlineStr">
        <is>
          <t>1.2</t>
        </is>
      </c>
      <c r="B7" s="10" t="inlineStr">
        <is>
          <t>Last day of your fiscal year</t>
        </is>
      </c>
      <c r="C7" s="12" t="n"/>
      <c r="D7" s="10" t="inlineStr">
        <is>
          <t>Choose from the list.</t>
        </is>
      </c>
      <c r="E7" s="13" t="inlineStr">
        <is>
          <t>June 30</t>
        </is>
      </c>
      <c r="F7" s="10" t="inlineStr">
        <is>
          <t>Finance</t>
        </is>
      </c>
      <c r="G7" s="10">
        <f>IF(C7="","To do","OK")</f>
        <v/>
      </c>
    </row>
    <row r="8" ht="18.5" customHeight="1">
      <c r="A8" s="9" t="inlineStr">
        <is>
          <t>1.3</t>
        </is>
      </c>
      <c r="B8" s="10" t="inlineStr">
        <is>
          <t>Fiscal year end date  [Answer only if 1.2 is Other.]</t>
        </is>
      </c>
      <c r="C8" s="12" t="n"/>
      <c r="D8" s="10" t="inlineStr">
        <is>
          <t>Month and day.</t>
        </is>
      </c>
      <c r="E8" s="13" t="inlineStr"/>
      <c r="F8" s="10" t="inlineStr">
        <is>
          <t>Finance</t>
        </is>
      </c>
      <c r="G8" s="10">
        <f>IF(C7="",IF(C8="","Answer 1.2 first","Check: answer 1.2 first"),IF(C7="Other",IF(C8="","To do","OK"),IF(C8="","Not needed","Check: not needed - clear this entry")))</f>
        <v/>
      </c>
    </row>
    <row r="9" ht="32" customHeight="1">
      <c r="A9" s="9" t="inlineStr">
        <is>
          <t>1.4</t>
        </is>
      </c>
      <c r="B9" s="10" t="inlineStr">
        <is>
          <t>Total endowment - market value at the end of your last fiscal year (FY 2025-26) ($)</t>
        </is>
      </c>
      <c r="C9" s="14" t="n"/>
      <c r="D9" s="10" t="inlineStr">
        <is>
          <t>Whole dollars. Enter 0 if there is no endowment.</t>
        </is>
      </c>
      <c r="E9" s="15" t="n">
        <v>14900000</v>
      </c>
      <c r="F9" s="10" t="inlineStr">
        <is>
          <t>Finance</t>
        </is>
      </c>
      <c r="G9" s="10">
        <f>IF(C9="","To do",IF(NOT(ISNUMBER(C9)),"Check: enter a number only, without symbols",IF(OR(C9&lt;0,C9&gt;99999999999),"Check: must be from 0 to 99,999,999,999",IF(C9&lt;&gt;INT(C9),"Check: whole numbers only",IF(OR(C9&lt;0,C9&gt;500000000),"Confirm: outside the expected range (0 to 500,000,000)","OK")))))</f>
        <v/>
      </c>
    </row>
    <row r="10" ht="32" customHeight="1">
      <c r="A10" s="9" t="inlineStr">
        <is>
          <t>1.5</t>
        </is>
      </c>
      <c r="B10" s="10" t="inlineStr">
        <is>
          <t>Total annual expenses for your last fiscal year (FY 2025-26) ($)</t>
        </is>
      </c>
      <c r="C10" s="14" t="n"/>
      <c r="D10" s="10" t="inlineStr">
        <is>
          <t>Whole dollars. Enter the full amount (23000000, not 23 or 23000).</t>
        </is>
      </c>
      <c r="E10" s="15" t="n">
        <v>23000000</v>
      </c>
      <c r="F10" s="10" t="inlineStr">
        <is>
          <t>Finance</t>
        </is>
      </c>
      <c r="G10" s="10">
        <f>IF(C10="","To do",IF(NOT(ISNUMBER(C10)),"Check: enter a number only, without symbols",IF(OR(C10&lt;0,C10&gt;99999999999),"Check: must be from 0 to 99,999,999,999",IF(C10&lt;&gt;INT(C10),"Check: whole numbers only",IF(OR(C10&lt;500000,C10&gt;300000000),"Confirm: outside the expected range (500,000 to 300,000,000)",IF(C10&lt;1000000,"Confirm: under $1 million - enter the full amount, not thousands","OK"))))))</f>
        <v/>
      </c>
    </row>
    <row r="11" ht="32" customHeight="1">
      <c r="A11" s="9" t="inlineStr">
        <is>
          <t>1.6</t>
        </is>
      </c>
      <c r="B11" s="10" t="inlineStr">
        <is>
          <t>Undergraduate student full-time equivalent (FTE) for Fall 2026</t>
        </is>
      </c>
      <c r="C11" s="14" t="n"/>
      <c r="D11" s="10" t="inlineStr">
        <is>
          <t>FTE = full-time students + 1/3 of part-time students. Whole number.</t>
        </is>
      </c>
      <c r="E11" s="15" t="n">
        <v>812</v>
      </c>
      <c r="F11" s="10" t="inlineStr">
        <is>
          <t>Registrar / Institutional Research</t>
        </is>
      </c>
      <c r="G11" s="10">
        <f>IF(C11="","To do",IF(NOT(ISNUMBER(C11)),"Check: enter a number only, without symbols",IF(OR(C11&lt;0,C11&gt;999999),"Check: must be from 0 to 999,999",IF(C11&lt;&gt;INT(C11),"Check: whole numbers only",IF(OR(C11&lt;0,C11&gt;15000),"Confirm: outside the expected range (0 to 15,000)",IF(C11&lt;25,"Confirm: fewer than 25 undergraduate FTE students","OK"))))))</f>
        <v/>
      </c>
    </row>
    <row r="12" ht="45.5" customHeight="1">
      <c r="A12" s="9" t="inlineStr">
        <is>
          <t>1.7</t>
        </is>
      </c>
      <c r="B12" s="10" t="inlineStr">
        <is>
          <t>Graduate student full-time equivalent (FTE) for Fall 2026</t>
        </is>
      </c>
      <c r="C12" s="14" t="n"/>
      <c r="D12" s="10" t="inlineStr">
        <is>
          <t>FTE = full-time students + 1/3 of part-time students. Whole number. Enter 0 if there are no graduate students.</t>
        </is>
      </c>
      <c r="E12" s="15" t="n">
        <v>76</v>
      </c>
      <c r="F12" s="10" t="inlineStr">
        <is>
          <t>Registrar / Institutional Research</t>
        </is>
      </c>
      <c r="G12" s="10">
        <f>IF(C12="","To do",IF(NOT(ISNUMBER(C12)),"Check: enter a number only, without symbols",IF(OR(C12&lt;0,C12&gt;999999),"Check: must be from 0 to 999,999",IF(C12&lt;&gt;INT(C12),"Check: whole numbers only",IF(OR(C12&lt;0,C12&gt;5000),"Confirm: outside the expected range (0 to 5,000)","OK")))))</f>
        <v/>
      </c>
    </row>
    <row r="13" ht="32" customHeight="1">
      <c r="A13" s="9" t="inlineStr">
        <is>
          <t>1.8</t>
        </is>
      </c>
      <c r="B13" s="10" t="inlineStr">
        <is>
          <t>Percentage of salary budgeted for increases in the last fiscal year (FY 2025-26)</t>
        </is>
      </c>
      <c r="C13" s="16" t="n"/>
      <c r="D13" s="10" t="inlineStr">
        <is>
          <t>Percent with up to one decimal. Enter 3 for 3%, not 0.03.</t>
        </is>
      </c>
      <c r="E13" s="17" t="n">
        <v>2</v>
      </c>
      <c r="F13" s="10" t="inlineStr">
        <is>
          <t>Finance / HR</t>
        </is>
      </c>
      <c r="G13" s="10">
        <f>IF(C13="","To do",IF(NOT(ISNUMBER(C13)),"Check: enter a number only, without symbols",IF(OR(C13&lt;0,C13&gt;999),"Check: must be from 0 to 999",IF(OR(C13&lt;0,C13&gt;15),"Confirm: outside the expected range (0 to 15)",IF(C13&gt;10,"Confirm: over 10%","OK")))))</f>
        <v/>
      </c>
    </row>
    <row r="14" ht="32" customHeight="1">
      <c r="A14" s="9" t="inlineStr">
        <is>
          <t>1.9</t>
        </is>
      </c>
      <c r="B14" s="10" t="inlineStr">
        <is>
          <t>Percentage of salary budgeted for increases in the current fiscal year (FY 2026-27)</t>
        </is>
      </c>
      <c r="C14" s="16" t="n"/>
      <c r="D14" s="10" t="inlineStr">
        <is>
          <t>Percent with up to one decimal. Enter 3 for 3%, not 0.03.</t>
        </is>
      </c>
      <c r="E14" s="17" t="n">
        <v>2.5</v>
      </c>
      <c r="F14" s="10" t="inlineStr">
        <is>
          <t>Finance / HR</t>
        </is>
      </c>
      <c r="G14" s="10">
        <f>IF(C14="","To do",IF(NOT(ISNUMBER(C14)),"Check: enter a number only, without symbols",IF(OR(C14&lt;0,C14&gt;999),"Check: must be from 0 to 999",IF(OR(C14&lt;0,C14&gt;15),"Confirm: outside the expected range (0 to 15)",IF(C14&gt;10,"Confirm: over 10%","OK")))))</f>
        <v/>
      </c>
    </row>
    <row r="15" ht="32" customHeight="1">
      <c r="A15" s="9" t="inlineStr">
        <is>
          <t>1.10</t>
        </is>
      </c>
      <c r="B15" s="10" t="inlineStr">
        <is>
          <t>Maximum employer contribution, as a percentage of salary, that an employee can earn in the qualified retirement plan</t>
        </is>
      </c>
      <c r="C15" s="16" t="n"/>
      <c r="D15" s="10" t="inlineStr">
        <is>
          <t>Percent with up to one decimal. Enter 3 for 3%, not 0.03.</t>
        </is>
      </c>
      <c r="E15" s="17" t="n">
        <v>5</v>
      </c>
      <c r="F15" s="10" t="inlineStr">
        <is>
          <t>HR</t>
        </is>
      </c>
      <c r="G15" s="10">
        <f>IF(C15="","To do",IF(NOT(ISNUMBER(C15)),"Check: enter a number only, without symbols",IF(OR(C15&lt;0,C15&gt;999),"Check: must be from 0 to 999",IF(OR(C15&lt;0,C15&gt;20),"Confirm: outside the expected range (0 to 20)","OK"))))</f>
        <v/>
      </c>
    </row>
  </sheetData>
  <sheetProtection selectLockedCells="0" selectUnlockedCells="0" sheet="1" objects="0" insertRows="1" insertHyperlinks="1" autoFilter="1" scenarios="0" formatColumns="0" deleteColumns="1" insertColumns="1" pivotTables="1" deleteRows="1" formatCells="1" formatRows="0" sort="1" password="D869"/>
  <conditionalFormatting sqref="G6:G15">
    <cfRule type="expression" priority="1" dxfId="0">
      <formula>G6="OK"</formula>
    </cfRule>
    <cfRule type="expression" priority="2" dxfId="1">
      <formula>LEFT(G6,5)="Check"</formula>
    </cfRule>
    <cfRule type="expression" priority="3" dxfId="2">
      <formula>LEFT(G6,7)="Confirm"</formula>
    </cfRule>
    <cfRule type="expression" priority="4" dxfId="3">
      <formula>OR(G6="To do",LEFT(G6,6)="Answer")</formula>
    </cfRule>
    <cfRule type="expression" priority="5" dxfId="4">
      <formula>OR(G6="Not needed",G6="Optional")</formula>
    </cfRule>
  </conditionalFormatting>
  <dataValidations count="9">
    <dataValidation sqref="C6" showDropDown="0" showInputMessage="0" showErrorMessage="1" allowBlank="1" errorTitle="Not an option" error="Choose one of the listed options." type="list">
      <formula1>"Baccalaureate,Master's,Doctorate"</formula1>
    </dataValidation>
    <dataValidation sqref="C7" showDropDown="0" showInputMessage="0" showErrorMessage="1" allowBlank="1" errorTitle="Not an option" error="Choose one of the listed options." type="list">
      <formula1>"June 30,May 31,December 31,Other"</formula1>
    </dataValidation>
    <dataValidation sqref="C9" showDropDown="0" showInputMessage="0" showErrorMessage="1" allowBlank="1" errorTitle="Outside the expected range" error="The expected range is 0 to 500,000,000. Click Yes to keep this value if it is correct, or No to change it. Enter a whole number without symbols." type="whole" errorStyle="warning" operator="between">
      <formula1>0</formula1>
      <formula2>500000000</formula2>
    </dataValidation>
    <dataValidation sqref="C10" showDropDown="0" showInputMessage="0" showErrorMessage="1" allowBlank="1" errorTitle="Outside the expected range" error="The expected range is 500,000 to 300,000,000. Click Yes to keep this value if it is correct, or No to change it. Enter a whole number without symbols." type="whole" errorStyle="warning" operator="between">
      <formula1>500000</formula1>
      <formula2>300000000</formula2>
    </dataValidation>
    <dataValidation sqref="C11" showDropDown="0" showInputMessage="0" showErrorMessage="1" allowBlank="1" errorTitle="Outside the expected range" error="The expected range is 0 to 15,000. Click Yes to keep this value if it is correct, or No to change it. Enter a whole number without symbols." type="whole" errorStyle="warning" operator="between">
      <formula1>0</formula1>
      <formula2>15000</formula2>
    </dataValidation>
    <dataValidation sqref="C12" showDropDown="0" showInputMessage="0" showErrorMessage="1" allowBlank="1" errorTitle="Outside the expected range" error="The expected range is 0 to 5,000. Click Yes to keep this value if it is correct, or No to change it. Enter a whole number without symbols." type="whole" errorStyle="warning" operator="between">
      <formula1>0</formula1>
      <formula2>5000</formula2>
    </dataValidation>
    <dataValidation sqref="C13" showDropDown="0" showInputMessage="0" showErrorMessage="1" allowBlank="1" errorTitle="Outside the expected range" error="The expected range is 0 to 15. Click Yes to keep this value if it is correct, or No to change it. Enter a number without symbols." type="decimal" errorStyle="warning" operator="between">
      <formula1>0</formula1>
      <formula2>15</formula2>
    </dataValidation>
    <dataValidation sqref="C14" showDropDown="0" showInputMessage="0" showErrorMessage="1" allowBlank="1" errorTitle="Outside the expected range" error="The expected range is 0 to 15. Click Yes to keep this value if it is correct, or No to change it. Enter a number without symbols." type="decimal" errorStyle="warning" operator="between">
      <formula1>0</formula1>
      <formula2>15</formula2>
    </dataValidation>
    <dataValidation sqref="C15" showDropDown="0" showInputMessage="0" showErrorMessage="1" allowBlank="1" errorTitle="Outside the expected range" error="The expected range is 0 to 20. Click Yes to keep this value if it is correct, or No to change it. Enter a number without symbols." type="decimal" errorStyle="warning" operator="between">
      <formula1>0</formula1>
      <formula2>20</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24"/>
  <sheetViews>
    <sheetView workbookViewId="0">
      <pane ySplit="9" topLeftCell="A10" activePane="bottomLeft" state="frozen"/>
      <selection pane="bottomLeft" activeCell="A1" sqref="A1"/>
    </sheetView>
  </sheetViews>
  <sheetFormatPr baseColWidth="8" defaultRowHeight="15"/>
  <cols>
    <col width="28" customWidth="1" min="1" max="1"/>
    <col width="52" customWidth="1" min="2" max="2"/>
    <col width="12" customWidth="1" min="3" max="3"/>
    <col width="14" customWidth="1" min="4" max="4"/>
    <col width="15" customWidth="1" min="5" max="5"/>
    <col width="15" customWidth="1" min="6" max="6"/>
    <col width="13" customWidth="1" min="7" max="7"/>
    <col width="32" customWidth="1" min="8" max="8"/>
    <col width="34" customWidth="1" min="9" max="9"/>
  </cols>
  <sheetData>
    <row r="1">
      <c r="A1" s="1" t="inlineStr">
        <is>
          <t>Section 2: Administrative Leadership Compensation</t>
        </is>
      </c>
    </row>
    <row r="2">
      <c r="A2" s="3" t="inlineStr">
        <is>
          <t>For each role, say whether it exists with a full-time incumbent as of October 1, 2026. If Yes, complete the row.</t>
        </is>
      </c>
    </row>
    <row r="3">
      <c r="A3" s="3" t="inlineStr">
        <is>
          <t>Report the senior-most person responsible for each function, whatever their title. Report each person once. If one person covers two roles, report them under the primary role and explain in the notes.</t>
        </is>
      </c>
    </row>
    <row r="4">
      <c r="A4" s="3" t="inlineStr">
        <is>
          <t>Reports to President: choose Yes if this person reports directly to the President / CEO, and No if they report to another administrator.</t>
        </is>
      </c>
    </row>
    <row r="5">
      <c r="A5" s="3" t="inlineStr">
        <is>
          <t>Base salary: annual (12-month) amount, not monthly or per pay period. Whole dollars. Leave out bonus and allowances.</t>
        </is>
      </c>
    </row>
    <row r="6">
      <c r="A6" s="3" t="inlineStr">
        <is>
          <t>Bonus: most recent annual bonus paid (for FY 2025-26). Enter 0 if none. Years: completed years in this role at this institution only. Enter 0 for the first year.</t>
        </is>
      </c>
    </row>
    <row r="7">
      <c r="A7" s="3" t="inlineStr">
        <is>
          <t>Usually held by: Human Resources.</t>
        </is>
      </c>
    </row>
    <row r="9" ht="44" customHeight="1">
      <c r="A9" s="8" t="inlineStr">
        <is>
          <t>Role</t>
        </is>
      </c>
      <c r="B9" s="8" t="inlineStr">
        <is>
          <t>What this role covers</t>
        </is>
      </c>
      <c r="C9" s="8" t="inlineStr">
        <is>
          <t>Full-time incumbent?</t>
        </is>
      </c>
      <c r="D9" s="8" t="inlineStr">
        <is>
          <t>Reports directly to President / CEO?</t>
        </is>
      </c>
      <c r="E9" s="8" t="inlineStr">
        <is>
          <t>Annual base salary ($)</t>
        </is>
      </c>
      <c r="F9" s="8" t="inlineStr">
        <is>
          <t>Most recent bonus paid ($)</t>
        </is>
      </c>
      <c r="G9" s="8" t="inlineStr">
        <is>
          <t>Completed years in role</t>
        </is>
      </c>
      <c r="H9" s="8" t="inlineStr">
        <is>
          <t>Notes (optional)</t>
        </is>
      </c>
      <c r="I9" s="8" t="inlineStr">
        <is>
          <t>Check</t>
        </is>
      </c>
    </row>
    <row r="10" ht="30" customHeight="1">
      <c r="A10" s="18" t="inlineStr">
        <is>
          <t>Example: Chief Human Resources Officer</t>
        </is>
      </c>
      <c r="B10" s="18" t="inlineStr">
        <is>
          <t>A filled-in row looks like this.</t>
        </is>
      </c>
      <c r="C10" s="18" t="inlineStr">
        <is>
          <t>Yes</t>
        </is>
      </c>
      <c r="D10" s="18" t="inlineStr">
        <is>
          <t>No</t>
        </is>
      </c>
      <c r="E10" s="19" t="n">
        <v>98000</v>
      </c>
      <c r="F10" s="19" t="n">
        <v>0</v>
      </c>
      <c r="G10" s="19" t="n">
        <v>6</v>
      </c>
      <c r="H10" s="18" t="inlineStr">
        <is>
          <t>Director of HR; reports to the CFO</t>
        </is>
      </c>
      <c r="I10" s="18" t="inlineStr"/>
    </row>
    <row r="11" ht="59" customHeight="1">
      <c r="A11" s="9" t="inlineStr">
        <is>
          <t>Chief Business / Financial Officer</t>
        </is>
      </c>
      <c r="B11" s="10" t="inlineStr">
        <is>
          <t>Senior-most administrator for financial and business affairs - typically budget, accounting, investments, and business operations. Often titled Vice President for Finance or for Business Affairs.</t>
        </is>
      </c>
      <c r="C11" s="12" t="n"/>
      <c r="D11" s="12" t="n"/>
      <c r="E11" s="14" t="n"/>
      <c r="F11" s="14" t="n"/>
      <c r="G11" s="14" t="n"/>
      <c r="H11" s="12" t="n"/>
      <c r="I11" s="10">
        <f>IF(C11="",IF(COUNTA(D11:G11)&gt;0,"Check: choose Yes or No for incumbent","To do"),IF(C11="No",IF(COUNTA(D11:G11)&gt;0,"Check: clear the row or choose Yes","OK"),IF(OR(D11="",COUNTA(E11:G11)&lt;3),"To do",IF(COUNT(E11:G11)&lt;3,"Check: enter numbers only, without symbols",IF(OR(E11&lt;0,F11&lt;0,G11&lt;0,E11&lt;&gt;INT(E11),F11&lt;&gt;INT(F11),G11&lt;&gt;INT(G11)),"Check: whole numbers, not negative",IF(OR(E11&lt;30000,E11&gt;500000),"Confirm: base salary outside the expected range (30,000 to 500,000)",IF(OR(F11&lt;0,F11&gt;100000),"Confirm: bonus outside the expected range (0 to 100,000)",IF(OR(G11&lt;0,G11&gt;40),"Confirm: years outside the expected range (0 to 40)",IF(E11&lt;40000,"Confirm: base under $40,000 - enter the annual amount",IF(F11&gt;50000,"Confirm: bonus over $50,000","OK"))))))))))</f>
        <v/>
      </c>
    </row>
    <row r="12" ht="72.5" customHeight="1">
      <c r="A12" s="9" t="inlineStr">
        <is>
          <t>Chief Operating Officer</t>
        </is>
      </c>
      <c r="B12" s="10" t="inlineStr">
        <is>
          <t>Senior administrator over several operational areas, such as facilities, auxiliary services, human resources, and technology. Often titled Chief Operating Officer or Executive Vice President. If this person is also the Chief Business / Financial Officer, report them there instead.</t>
        </is>
      </c>
      <c r="C12" s="12" t="n"/>
      <c r="D12" s="12" t="n"/>
      <c r="E12" s="14" t="n"/>
      <c r="F12" s="14" t="n"/>
      <c r="G12" s="14" t="n"/>
      <c r="H12" s="12" t="n"/>
      <c r="I12" s="10">
        <f>IF(C12="",IF(COUNTA(D12:G12)&gt;0,"Check: choose Yes or No for incumbent","To do"),IF(C12="No",IF(COUNTA(D12:G12)&gt;0,"Check: clear the row or choose Yes","OK"),IF(OR(D12="",COUNTA(E12:G12)&lt;3),"To do",IF(COUNT(E12:G12)&lt;3,"Check: enter numbers only, without symbols",IF(OR(E12&lt;0,F12&lt;0,G12&lt;0,E12&lt;&gt;INT(E12),F12&lt;&gt;INT(F12),G12&lt;&gt;INT(G12)),"Check: whole numbers, not negative",IF(OR(E12&lt;30000,E12&gt;500000),"Confirm: base salary outside the expected range (30,000 to 500,000)",IF(OR(F12&lt;0,F12&gt;100000),"Confirm: bonus outside the expected range (0 to 100,000)",IF(OR(G12&lt;0,G12&gt;40),"Confirm: years outside the expected range (0 to 40)",IF(E12&lt;40000,"Confirm: base under $40,000 - enter the annual amount",IF(F12&gt;50000,"Confirm: bonus over $50,000","OK"))))))))))</f>
        <v/>
      </c>
    </row>
    <row r="13" ht="59" customHeight="1">
      <c r="A13" s="9" t="inlineStr">
        <is>
          <t>Controller</t>
        </is>
      </c>
      <c r="B13" s="10" t="inlineStr">
        <is>
          <t>Senior-most accounting administrator - typically accounting, payroll, and financial reporting - under the Chief Business / Financial Officer. Often titled Controller or Director of Finance.</t>
        </is>
      </c>
      <c r="C13" s="12" t="n"/>
      <c r="D13" s="12" t="n"/>
      <c r="E13" s="14" t="n"/>
      <c r="F13" s="14" t="n"/>
      <c r="G13" s="14" t="n"/>
      <c r="H13" s="12" t="n"/>
      <c r="I13" s="10">
        <f>IF(C13="",IF(COUNTA(D13:G13)&gt;0,"Check: choose Yes or No for incumbent","To do"),IF(C13="No",IF(COUNTA(D13:G13)&gt;0,"Check: clear the row or choose Yes","OK"),IF(OR(D13="",COUNTA(E13:G13)&lt;3),"To do",IF(COUNT(E13:G13)&lt;3,"Check: enter numbers only, without symbols",IF(OR(E13&lt;0,F13&lt;0,G13&lt;0,E13&lt;&gt;INT(E13),F13&lt;&gt;INT(F13),G13&lt;&gt;INT(G13)),"Check: whole numbers, not negative",IF(OR(E13&lt;30000,E13&gt;500000),"Confirm: base salary outside the expected range (30,000 to 500,000)",IF(OR(F13&lt;0,F13&gt;100000),"Confirm: bonus outside the expected range (0 to 100,000)",IF(OR(G13&lt;0,G13&gt;40),"Confirm: years outside the expected range (0 to 40)",IF(E13&lt;40000,"Confirm: base under $40,000 - enter the annual amount",IF(F13&gt;50000,"Confirm: bonus over $50,000","OK"))))))))))</f>
        <v/>
      </c>
    </row>
    <row r="14" ht="59" customHeight="1">
      <c r="A14" s="9" t="inlineStr">
        <is>
          <t>Chief Human Resources Officer</t>
        </is>
      </c>
      <c r="B14" s="10" t="inlineStr">
        <is>
          <t>Senior-most administrator for human resources - typically employment, benefits, compensation, and personnel records. Report this person whatever the title (Vice President, Director) or reporting line.</t>
        </is>
      </c>
      <c r="C14" s="12" t="n"/>
      <c r="D14" s="12" t="n"/>
      <c r="E14" s="14" t="n"/>
      <c r="F14" s="14" t="n"/>
      <c r="G14" s="14" t="n"/>
      <c r="H14" s="12" t="n"/>
      <c r="I14" s="10">
        <f>IF(C14="",IF(COUNTA(D14:G14)&gt;0,"Check: choose Yes or No for incumbent","To do"),IF(C14="No",IF(COUNTA(D14:G14)&gt;0,"Check: clear the row or choose Yes","OK"),IF(OR(D14="",COUNTA(E14:G14)&lt;3),"To do",IF(COUNT(E14:G14)&lt;3,"Check: enter numbers only, without symbols",IF(OR(E14&lt;0,F14&lt;0,G14&lt;0,E14&lt;&gt;INT(E14),F14&lt;&gt;INT(F14),G14&lt;&gt;INT(G14)),"Check: whole numbers, not negative",IF(OR(E14&lt;30000,E14&gt;500000),"Confirm: base salary outside the expected range (30,000 to 500,000)",IF(OR(F14&lt;0,F14&gt;100000),"Confirm: bonus outside the expected range (0 to 100,000)",IF(OR(G14&lt;0,G14&gt;40),"Confirm: years outside the expected range (0 to 40)",IF(E14&lt;40000,"Confirm: base under $40,000 - enter the annual amount",IF(F14&gt;50000,"Confirm: bonus over $50,000","OK"))))))))))</f>
        <v/>
      </c>
    </row>
    <row r="15" ht="32" customHeight="1">
      <c r="A15" s="9" t="inlineStr">
        <is>
          <t>Chief Information / Technology Officer</t>
        </is>
      </c>
      <c r="B15" s="10" t="inlineStr">
        <is>
          <t>Senior-most administrator for information technology systems and strategy.</t>
        </is>
      </c>
      <c r="C15" s="12" t="n"/>
      <c r="D15" s="12" t="n"/>
      <c r="E15" s="14" t="n"/>
      <c r="F15" s="14" t="n"/>
      <c r="G15" s="14" t="n"/>
      <c r="H15" s="12" t="n"/>
      <c r="I15" s="10">
        <f>IF(C15="",IF(COUNTA(D15:G15)&gt;0,"Check: choose Yes or No for incumbent","To do"),IF(C15="No",IF(COUNTA(D15:G15)&gt;0,"Check: clear the row or choose Yes","OK"),IF(OR(D15="",COUNTA(E15:G15)&lt;3),"To do",IF(COUNT(E15:G15)&lt;3,"Check: enter numbers only, without symbols",IF(OR(E15&lt;0,F15&lt;0,G15&lt;0,E15&lt;&gt;INT(E15),F15&lt;&gt;INT(F15),G15&lt;&gt;INT(G15)),"Check: whole numbers, not negative",IF(OR(E15&lt;30000,E15&gt;500000),"Confirm: base salary outside the expected range (30,000 to 500,000)",IF(OR(F15&lt;0,F15&gt;100000),"Confirm: bonus outside the expected range (0 to 100,000)",IF(OR(G15&lt;0,G15&gt;40),"Confirm: years outside the expected range (0 to 40)",IF(E15&lt;40000,"Confirm: base under $40,000 - enter the annual amount",IF(F15&gt;50000,"Confirm: bonus over $50,000","OK"))))))))))</f>
        <v/>
      </c>
    </row>
    <row r="16" ht="59" customHeight="1">
      <c r="A16" s="9" t="inlineStr">
        <is>
          <t>Chief Academic Officer</t>
        </is>
      </c>
      <c r="B16" s="10" t="inlineStr">
        <is>
          <t>Senior-most administrator for the academic program - typically faculty, curriculum, and academic planning. Often titled Provost, Vice President for Academic Affairs, or Academic Dean.</t>
        </is>
      </c>
      <c r="C16" s="12" t="n"/>
      <c r="D16" s="12" t="n"/>
      <c r="E16" s="14" t="n"/>
      <c r="F16" s="14" t="n"/>
      <c r="G16" s="14" t="n"/>
      <c r="H16" s="12" t="n"/>
      <c r="I16" s="10">
        <f>IF(C16="",IF(COUNTA(D16:G16)&gt;0,"Check: choose Yes or No for incumbent","To do"),IF(C16="No",IF(COUNTA(D16:G16)&gt;0,"Check: clear the row or choose Yes","OK"),IF(OR(D16="",COUNTA(E16:G16)&lt;3),"To do",IF(COUNT(E16:G16)&lt;3,"Check: enter numbers only, without symbols",IF(OR(E16&lt;0,F16&lt;0,G16&lt;0,E16&lt;&gt;INT(E16),F16&lt;&gt;INT(F16),G16&lt;&gt;INT(G16)),"Check: whole numbers, not negative",IF(OR(E16&lt;30000,E16&gt;500000),"Confirm: base salary outside the expected range (30,000 to 500,000)",IF(OR(F16&lt;0,F16&gt;100000),"Confirm: bonus outside the expected range (0 to 100,000)",IF(OR(G16&lt;0,G16&gt;40),"Confirm: years outside the expected range (0 to 40)",IF(E16&lt;40000,"Confirm: base under $40,000 - enter the annual amount",IF(F16&gt;50000,"Confirm: bonus over $50,000","OK"))))))))))</f>
        <v/>
      </c>
    </row>
    <row r="17" ht="45.5" customHeight="1">
      <c r="A17" s="9" t="inlineStr">
        <is>
          <t>Chief Enrollment Management Officer</t>
        </is>
      </c>
      <c r="B17" s="10" t="inlineStr">
        <is>
          <t>Senior-most administrator for student recruitment and retention - typically admissions, and often financial aid and registration.</t>
        </is>
      </c>
      <c r="C17" s="12" t="n"/>
      <c r="D17" s="12" t="n"/>
      <c r="E17" s="14" t="n"/>
      <c r="F17" s="14" t="n"/>
      <c r="G17" s="14" t="n"/>
      <c r="H17" s="12" t="n"/>
      <c r="I17" s="10">
        <f>IF(C17="",IF(COUNTA(D17:G17)&gt;0,"Check: choose Yes or No for incumbent","To do"),IF(C17="No",IF(COUNTA(D17:G17)&gt;0,"Check: clear the row or choose Yes","OK"),IF(OR(D17="",COUNTA(E17:G17)&lt;3),"To do",IF(COUNT(E17:G17)&lt;3,"Check: enter numbers only, without symbols",IF(OR(E17&lt;0,F17&lt;0,G17&lt;0,E17&lt;&gt;INT(E17),F17&lt;&gt;INT(F17),G17&lt;&gt;INT(G17)),"Check: whole numbers, not negative",IF(OR(E17&lt;30000,E17&gt;500000),"Confirm: base salary outside the expected range (30,000 to 500,000)",IF(OR(F17&lt;0,F17&gt;100000),"Confirm: bonus outside the expected range (0 to 100,000)",IF(OR(G17&lt;0,G17&gt;40),"Confirm: years outside the expected range (0 to 40)",IF(E17&lt;40000,"Confirm: base under $40,000 - enter the annual amount",IF(F17&gt;50000,"Confirm: bonus over $50,000","OK"))))))))))</f>
        <v/>
      </c>
    </row>
    <row r="18" ht="45.5" customHeight="1">
      <c r="A18" s="9" t="inlineStr">
        <is>
          <t>Chief Student Affairs Officer</t>
        </is>
      </c>
      <c r="B18" s="10" t="inlineStr">
        <is>
          <t>Senior-most administrator for student services and student life - typically residence life, student conduct, counseling, and student activities.</t>
        </is>
      </c>
      <c r="C18" s="12" t="n"/>
      <c r="D18" s="12" t="n"/>
      <c r="E18" s="14" t="n"/>
      <c r="F18" s="14" t="n"/>
      <c r="G18" s="14" t="n"/>
      <c r="H18" s="12" t="n"/>
      <c r="I18" s="10">
        <f>IF(C18="",IF(COUNTA(D18:G18)&gt;0,"Check: choose Yes or No for incumbent","To do"),IF(C18="No",IF(COUNTA(D18:G18)&gt;0,"Check: clear the row or choose Yes","OK"),IF(OR(D18="",COUNTA(E18:G18)&lt;3),"To do",IF(COUNT(E18:G18)&lt;3,"Check: enter numbers only, without symbols",IF(OR(E18&lt;0,F18&lt;0,G18&lt;0,E18&lt;&gt;INT(E18),F18&lt;&gt;INT(F18),G18&lt;&gt;INT(G18)),"Check: whole numbers, not negative",IF(OR(E18&lt;30000,E18&gt;500000),"Confirm: base salary outside the expected range (30,000 to 500,000)",IF(OR(F18&lt;0,F18&gt;100000),"Confirm: bonus outside the expected range (0 to 100,000)",IF(OR(G18&lt;0,G18&gt;40),"Confirm: years outside the expected range (0 to 40)",IF(E18&lt;40000,"Confirm: base under $40,000 - enter the annual amount",IF(F18&gt;50000,"Confirm: bonus over $50,000","OK"))))))))))</f>
        <v/>
      </c>
    </row>
    <row r="19" ht="72.5" customHeight="1">
      <c r="A19" s="9" t="inlineStr">
        <is>
          <t>Chief Mission Officer</t>
        </is>
      </c>
      <c r="B19" s="10" t="inlineStr">
        <is>
          <t>Senior-most administrator for the institution's faith mission - typically mission integration, spiritual formation, campus ministry, and chapel. Often titled Vice President for Mission, Vice President for Spiritual Life, Campus Pastor, or Chaplain. Report this person whatever the title.</t>
        </is>
      </c>
      <c r="C19" s="12" t="n"/>
      <c r="D19" s="12" t="n"/>
      <c r="E19" s="14" t="n"/>
      <c r="F19" s="14" t="n"/>
      <c r="G19" s="14" t="n"/>
      <c r="H19" s="12" t="n"/>
      <c r="I19" s="10">
        <f>IF(C19="",IF(COUNTA(D19:G19)&gt;0,"Check: choose Yes or No for incumbent","To do"),IF(C19="No",IF(COUNTA(D19:G19)&gt;0,"Check: clear the row or choose Yes","OK"),IF(OR(D19="",COUNTA(E19:G19)&lt;3),"To do",IF(COUNT(E19:G19)&lt;3,"Check: enter numbers only, without symbols",IF(OR(E19&lt;0,F19&lt;0,G19&lt;0,E19&lt;&gt;INT(E19),F19&lt;&gt;INT(F19),G19&lt;&gt;INT(G19)),"Check: whole numbers, not negative",IF(OR(E19&lt;30000,E19&gt;500000),"Confirm: base salary outside the expected range (30,000 to 500,000)",IF(OR(F19&lt;0,F19&gt;100000),"Confirm: bonus outside the expected range (0 to 100,000)",IF(OR(G19&lt;0,G19&gt;40),"Confirm: years outside the expected range (0 to 40)",IF(E19&lt;40000,"Confirm: base under $40,000 - enter the annual amount",IF(F19&gt;50000,"Confirm: bonus over $50,000","OK"))))))))))</f>
        <v/>
      </c>
    </row>
    <row r="20" ht="32" customHeight="1">
      <c r="A20" s="9" t="inlineStr">
        <is>
          <t>Athletics Director</t>
        </is>
      </c>
      <c r="B20" s="10" t="inlineStr">
        <is>
          <t>Senior-most administrator for intercollegiate athletics programs, staff, and facilities.</t>
        </is>
      </c>
      <c r="C20" s="12" t="n"/>
      <c r="D20" s="12" t="n"/>
      <c r="E20" s="14" t="n"/>
      <c r="F20" s="14" t="n"/>
      <c r="G20" s="14" t="n"/>
      <c r="H20" s="12" t="n"/>
      <c r="I20" s="10">
        <f>IF(C20="",IF(COUNTA(D20:G20)&gt;0,"Check: choose Yes or No for incumbent","To do"),IF(C20="No",IF(COUNTA(D20:G20)&gt;0,"Check: clear the row or choose Yes","OK"),IF(OR(D20="",COUNTA(E20:G20)&lt;3),"To do",IF(COUNT(E20:G20)&lt;3,"Check: enter numbers only, without symbols",IF(OR(E20&lt;0,F20&lt;0,G20&lt;0,E20&lt;&gt;INT(E20),F20&lt;&gt;INT(F20),G20&lt;&gt;INT(G20)),"Check: whole numbers, not negative",IF(OR(E20&lt;30000,E20&gt;500000),"Confirm: base salary outside the expected range (30,000 to 500,000)",IF(OR(F20&lt;0,F20&gt;100000),"Confirm: bonus outside the expected range (0 to 100,000)",IF(OR(G20&lt;0,G20&gt;40),"Confirm: years outside the expected range (0 to 40)",IF(E20&lt;40000,"Confirm: base under $40,000 - enter the annual amount",IF(F20&gt;50000,"Confirm: bonus over $50,000","OK"))))))))))</f>
        <v/>
      </c>
    </row>
    <row r="21" ht="32" customHeight="1">
      <c r="A21" s="9" t="inlineStr">
        <is>
          <t>Chief Development Officer</t>
        </is>
      </c>
      <c r="B21" s="10" t="inlineStr">
        <is>
          <t>Senior-most administrator for fundraising and advancement, often including alumni relations.</t>
        </is>
      </c>
      <c r="C21" s="12" t="n"/>
      <c r="D21" s="12" t="n"/>
      <c r="E21" s="14" t="n"/>
      <c r="F21" s="14" t="n"/>
      <c r="G21" s="14" t="n"/>
      <c r="H21" s="12" t="n"/>
      <c r="I21" s="10">
        <f>IF(C21="",IF(COUNTA(D21:G21)&gt;0,"Check: choose Yes or No for incumbent","To do"),IF(C21="No",IF(COUNTA(D21:G21)&gt;0,"Check: clear the row or choose Yes","OK"),IF(OR(D21="",COUNTA(E21:G21)&lt;3),"To do",IF(COUNT(E21:G21)&lt;3,"Check: enter numbers only, without symbols",IF(OR(E21&lt;0,F21&lt;0,G21&lt;0,E21&lt;&gt;INT(E21),F21&lt;&gt;INT(F21),G21&lt;&gt;INT(G21)),"Check: whole numbers, not negative",IF(OR(E21&lt;30000,E21&gt;500000),"Confirm: base salary outside the expected range (30,000 to 500,000)",IF(OR(F21&lt;0,F21&gt;100000),"Confirm: bonus outside the expected range (0 to 100,000)",IF(OR(G21&lt;0,G21&gt;40),"Confirm: years outside the expected range (0 to 40)",IF(E21&lt;40000,"Confirm: base under $40,000 - enter the annual amount",IF(F21&gt;50000,"Confirm: bonus over $50,000","OK"))))))))))</f>
        <v/>
      </c>
    </row>
    <row r="22" ht="45.5" customHeight="1">
      <c r="A22" s="9" t="inlineStr">
        <is>
          <t>Chief Marketing / Communications Officer</t>
        </is>
      </c>
      <c r="B22" s="10" t="inlineStr">
        <is>
          <t>Senior-most administrator for marketing, communications, and public relations - typically branding, web and media, and public relations.</t>
        </is>
      </c>
      <c r="C22" s="12" t="n"/>
      <c r="D22" s="12" t="n"/>
      <c r="E22" s="14" t="n"/>
      <c r="F22" s="14" t="n"/>
      <c r="G22" s="14" t="n"/>
      <c r="H22" s="12" t="n"/>
      <c r="I22" s="10">
        <f>IF(C22="",IF(COUNTA(D22:G22)&gt;0,"Check: choose Yes or No for incumbent","To do"),IF(C22="No",IF(COUNTA(D22:G22)&gt;0,"Check: clear the row or choose Yes","OK"),IF(OR(D22="",COUNTA(E22:G22)&lt;3),"To do",IF(COUNT(E22:G22)&lt;3,"Check: enter numbers only, without symbols",IF(OR(E22&lt;0,F22&lt;0,G22&lt;0,E22&lt;&gt;INT(E22),F22&lt;&gt;INT(F22),G22&lt;&gt;INT(G22)),"Check: whole numbers, not negative",IF(OR(E22&lt;30000,E22&gt;500000),"Confirm: base salary outside the expected range (30,000 to 500,000)",IF(OR(F22&lt;0,F22&gt;100000),"Confirm: bonus outside the expected range (0 to 100,000)",IF(OR(G22&lt;0,G22&gt;40),"Confirm: years outside the expected range (0 to 40)",IF(E22&lt;40000,"Confirm: base under $40,000 - enter the annual amount",IF(F22&gt;50000,"Confirm: bonus over $50,000","OK"))))))))))</f>
        <v/>
      </c>
    </row>
    <row r="23" ht="59" customHeight="1">
      <c r="A23" s="9" t="inlineStr">
        <is>
          <t>Chief of Staff</t>
        </is>
      </c>
      <c r="B23" s="10" t="inlineStr">
        <is>
          <t>Senior advisor to the President / CEO who coordinates strategic initiatives and represents the President to campus leaders. Not an executive assistant, and not a Chief Operating Officer.</t>
        </is>
      </c>
      <c r="C23" s="12" t="n"/>
      <c r="D23" s="12" t="n"/>
      <c r="E23" s="14" t="n"/>
      <c r="F23" s="14" t="n"/>
      <c r="G23" s="14" t="n"/>
      <c r="H23" s="12" t="n"/>
      <c r="I23" s="10">
        <f>IF(C23="",IF(COUNTA(D23:G23)&gt;0,"Check: choose Yes or No for incumbent","To do"),IF(C23="No",IF(COUNTA(D23:G23)&gt;0,"Check: clear the row or choose Yes","OK"),IF(OR(D23="",COUNTA(E23:G23)&lt;3),"To do",IF(COUNT(E23:G23)&lt;3,"Check: enter numbers only, without symbols",IF(OR(E23&lt;0,F23&lt;0,G23&lt;0,E23&lt;&gt;INT(E23),F23&lt;&gt;INT(F23),G23&lt;&gt;INT(G23)),"Check: whole numbers, not negative",IF(OR(E23&lt;30000,E23&gt;500000),"Confirm: base salary outside the expected range (30,000 to 500,000)",IF(OR(F23&lt;0,F23&gt;100000),"Confirm: bonus outside the expected range (0 to 100,000)",IF(OR(G23&lt;0,G23&gt;40),"Confirm: years outside the expected range (0 to 40)",IF(E23&lt;40000,"Confirm: base under $40,000 - enter the annual amount",IF(F23&gt;50000,"Confirm: bonus over $50,000","OK"))))))))))</f>
        <v/>
      </c>
    </row>
    <row r="24" ht="32" customHeight="1">
      <c r="A24" s="9" t="inlineStr">
        <is>
          <t>General Counsel</t>
        </is>
      </c>
      <c r="B24" s="10" t="inlineStr">
        <is>
          <t>Senior-most attorney on the institution's payroll, responsible for its legal affairs. Do not report outside counsel.</t>
        </is>
      </c>
      <c r="C24" s="12" t="n"/>
      <c r="D24" s="12" t="n"/>
      <c r="E24" s="14" t="n"/>
      <c r="F24" s="14" t="n"/>
      <c r="G24" s="14" t="n"/>
      <c r="H24" s="12" t="n"/>
      <c r="I24" s="10">
        <f>IF(C24="",IF(COUNTA(D24:G24)&gt;0,"Check: choose Yes or No for incumbent","To do"),IF(C24="No",IF(COUNTA(D24:G24)&gt;0,"Check: clear the row or choose Yes","OK"),IF(OR(D24="",COUNTA(E24:G24)&lt;3),"To do",IF(COUNT(E24:G24)&lt;3,"Check: enter numbers only, without symbols",IF(OR(E24&lt;0,F24&lt;0,G24&lt;0,E24&lt;&gt;INT(E24),F24&lt;&gt;INT(F24),G24&lt;&gt;INT(G24)),"Check: whole numbers, not negative",IF(OR(E24&lt;30000,E24&gt;500000),"Confirm: base salary outside the expected range (30,000 to 500,000)",IF(OR(F24&lt;0,F24&gt;100000),"Confirm: bonus outside the expected range (0 to 100,000)",IF(OR(G24&lt;0,G24&gt;40),"Confirm: years outside the expected range (0 to 40)",IF(E24&lt;40000,"Confirm: base under $40,000 - enter the annual amount",IF(F24&gt;50000,"Confirm: bonus over $50,000","OK"))))))))))</f>
        <v/>
      </c>
    </row>
  </sheetData>
  <sheetProtection selectLockedCells="0" selectUnlockedCells="0" sheet="1" objects="0" insertRows="1" insertHyperlinks="1" autoFilter="1" scenarios="0" formatColumns="0" deleteColumns="1" insertColumns="1" pivotTables="1" deleteRows="1" formatCells="1" formatRows="0" sort="1" password="D869"/>
  <conditionalFormatting sqref="I11:I24">
    <cfRule type="expression" priority="1" dxfId="0">
      <formula>I11="OK"</formula>
    </cfRule>
    <cfRule type="expression" priority="2" dxfId="1">
      <formula>LEFT(I11,5)="Check"</formula>
    </cfRule>
    <cfRule type="expression" priority="3" dxfId="2">
      <formula>LEFT(I11,7)="Confirm"</formula>
    </cfRule>
    <cfRule type="expression" priority="4" dxfId="3">
      <formula>OR(I11="To do",LEFT(I11,6)="Answer")</formula>
    </cfRule>
    <cfRule type="expression" priority="5" dxfId="4">
      <formula>OR(I11="Not needed",I11="Optional")</formula>
    </cfRule>
  </conditionalFormatting>
  <dataValidations count="4">
    <dataValidation sqref="C11 C12 C13 C14 C15 C16 C17 C18 C19 C20 C21 C22 C23 C24 D11 D12 D13 D14 D15 D16 D17 D18 D19 D20 D21 D22 D23 D24" showDropDown="0" showInputMessage="0" showErrorMessage="1" allowBlank="1" errorTitle="Not an option" error="Choose Yes or No." type="list">
      <formula1>"Yes,No"</formula1>
    </dataValidation>
    <dataValidation sqref="E11 E12 E13 E14 E15 E16 E17 E18 E19 E20 E21 E22 E23 E24" showDropDown="0" showInputMessage="0" showErrorMessage="1" allowBlank="1" errorTitle="Outside the expected range" error="The expected range is 30,000 to 500,000. Click Yes to keep this value if it is correct, or No to change it. Enter a whole number without symbols." type="whole" errorStyle="warning" operator="between">
      <formula1>30000</formula1>
      <formula2>500000</formula2>
    </dataValidation>
    <dataValidation sqref="F11 F12 F13 F14 F15 F16 F17 F18 F19 F20 F21 F22 F23 F24" showDropDown="0" showInputMessage="0" showErrorMessage="1" allowBlank="1" errorTitle="Outside the expected range" error="The expected range is 0 to 100,000. Click Yes to keep this value if it is correct, or No to change it. Enter a whole number without symbols." type="whole" errorStyle="warning" operator="between">
      <formula1>0</formula1>
      <formula2>100000</formula2>
    </dataValidation>
    <dataValidation sqref="G11 G12 G13 G14 G15 G16 G17 G18 G19 G20 G21 G22 G23 G24" showDropDown="0" showInputMessage="0" showErrorMessage="1" allowBlank="1" errorTitle="Outside the expected range" error="The expected range is 0 to 40. Click Yes to keep this value if it is correct, or No to change it. Enter a whole number without symbols." type="whole" errorStyle="warning" operator="between">
      <formula1>0</formula1>
      <formula2>40</formula2>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41"/>
  <sheetViews>
    <sheetView workbookViewId="0">
      <pane ySplit="5" topLeftCell="A6" activePane="bottomLeft" state="frozen"/>
      <selection pane="bottomLeft" activeCell="A1" sqref="A1"/>
    </sheetView>
  </sheetViews>
  <sheetFormatPr baseColWidth="8" defaultRowHeight="15"/>
  <cols>
    <col width="7" customWidth="1" min="1" max="1"/>
    <col width="58" customWidth="1" min="2" max="2"/>
    <col width="24" customWidth="1" min="3" max="3"/>
    <col width="42" customWidth="1" min="4" max="4"/>
    <col width="18" customWidth="1" min="5" max="5"/>
    <col width="26" customWidth="1" min="6" max="6"/>
    <col width="40" customWidth="1" min="7" max="7"/>
  </cols>
  <sheetData>
    <row r="1">
      <c r="A1" s="1" t="inlineStr">
        <is>
          <t>Section 3: President / CEO Compensation</t>
        </is>
      </c>
    </row>
    <row r="2">
      <c r="A2" s="3" t="inlineStr">
        <is>
          <t>All amounts are for the current President / CEO as of October 1, 2026 unless an item says otherwise.</t>
        </is>
      </c>
    </row>
    <row r="3">
      <c r="A3" s="3" t="inlineStr">
        <is>
          <t>Enter values only in the shaded cells in column C. Column G tells you whether each entry is complete.</t>
        </is>
      </c>
    </row>
    <row r="5">
      <c r="A5" s="7" t="inlineStr">
        <is>
          <t>Item</t>
        </is>
      </c>
      <c r="B5" s="7" t="inlineStr">
        <is>
          <t>Question</t>
        </is>
      </c>
      <c r="C5" s="7" t="inlineStr">
        <is>
          <t>Your entry</t>
        </is>
      </c>
      <c r="D5" s="7" t="inlineStr">
        <is>
          <t>How to enter</t>
        </is>
      </c>
      <c r="E5" s="7" t="inlineStr">
        <is>
          <t>Example</t>
        </is>
      </c>
      <c r="F5" s="7" t="inlineStr">
        <is>
          <t>Usually held by</t>
        </is>
      </c>
      <c r="G5" s="7" t="inlineStr">
        <is>
          <t>Check</t>
        </is>
      </c>
    </row>
    <row r="6">
      <c r="A6" s="4" t="inlineStr">
        <is>
          <t>3A: Base salary and bonus</t>
        </is>
      </c>
      <c r="B6" s="5" t="n"/>
      <c r="C6" s="5" t="n"/>
      <c r="D6" s="5" t="n"/>
      <c r="E6" s="5" t="n"/>
      <c r="F6" s="5" t="n"/>
      <c r="G6" s="5" t="n"/>
    </row>
    <row r="7" ht="72.5" customHeight="1">
      <c r="A7" s="9" t="inlineStr">
        <is>
          <t>3A.1</t>
        </is>
      </c>
      <c r="B7" s="10" t="inlineStr">
        <is>
          <t>President / CEO annual base salary as of October 1, 2026 ($)</t>
        </is>
      </c>
      <c r="C7" s="14" t="n"/>
      <c r="D7" s="10" t="inlineStr">
        <is>
          <t>Annual (12-month) amount, not monthly or per pay period. Whole dollars. Leave out bonus, housing and vehicle allowances, deferred compensation, and benefits - those are entered later in this section and in 3B.</t>
        </is>
      </c>
      <c r="E7" s="15" t="n">
        <v>218000</v>
      </c>
      <c r="F7" s="10" t="inlineStr">
        <is>
          <t>HR / Board</t>
        </is>
      </c>
      <c r="G7" s="10">
        <f>IF(C7="","To do",IF(NOT(ISNUMBER(C7)),"Check: enter a number only, without symbols",IF(OR(C7&lt;0,C7&gt;99999999999),"Check: must be from 0 to 99,999,999,999",IF(C7&lt;&gt;INT(C7),"Check: whole numbers only",IF(OR(C7&lt;50000,C7&gt;1000000),"Confirm: outside the expected range (50,000 to 1,000,000)",IF(C7&lt;60000,"Confirm: under $60,000 - enter the annual amount","OK"))))))</f>
        <v/>
      </c>
    </row>
    <row r="8" ht="32" customHeight="1">
      <c r="A8" s="9" t="inlineStr">
        <is>
          <t>3A.2</t>
        </is>
      </c>
      <c r="B8" s="10" t="inlineStr">
        <is>
          <t>Does the President / CEO have an annual bonus or incentive opportunity this year (FY 2026-27)?</t>
        </is>
      </c>
      <c r="C8" s="12" t="n"/>
      <c r="D8" s="10" t="inlineStr">
        <is>
          <t>Choose Yes or No.</t>
        </is>
      </c>
      <c r="E8" s="13" t="inlineStr">
        <is>
          <t>Yes</t>
        </is>
      </c>
      <c r="F8" s="10" t="inlineStr">
        <is>
          <t>HR / Board</t>
        </is>
      </c>
      <c r="G8" s="10">
        <f>IF(C8="","To do","OK")</f>
        <v/>
      </c>
    </row>
    <row r="9" ht="32" customHeight="1">
      <c r="A9" s="9" t="inlineStr">
        <is>
          <t>3A.3</t>
        </is>
      </c>
      <c r="B9" s="10" t="inlineStr">
        <is>
          <t>This year's maximum bonus opportunity, as a percentage of base salary  [Answer only if 3A.2 is Yes.]</t>
        </is>
      </c>
      <c r="C9" s="16" t="n"/>
      <c r="D9" s="10" t="inlineStr">
        <is>
          <t>Percent with up to one decimal. Enter 3 for 3%, not 0.03.</t>
        </is>
      </c>
      <c r="E9" s="17" t="n">
        <v>10</v>
      </c>
      <c r="F9" s="10" t="inlineStr">
        <is>
          <t>HR / Board</t>
        </is>
      </c>
      <c r="G9" s="10">
        <f>IF(C8="",IF(C9="","Answer 3A.2 first","Check: answer 3A.2 first"),IF(C8="Yes",IF(C9="","To do",IF(NOT(ISNUMBER(C9)),"Check: enter a number only, without symbols",IF(OR(C9&lt;0,C9&gt;999),"Check: must be from 0 to 999",IF(OR(C9&lt;0,C9&gt;100),"Confirm: outside the expected range (0 to 100)",IF(C9&gt;50,"Confirm: over 50% of base","OK"))))),IF(C9="","Not needed","Check: not needed - clear this entry")))</f>
        <v/>
      </c>
    </row>
    <row r="10" ht="32" customHeight="1">
      <c r="A10" s="9" t="inlineStr">
        <is>
          <t>3A.4</t>
        </is>
      </c>
      <c r="B10" s="10" t="inlineStr">
        <is>
          <t>Did the President / CEO have an annual bonus or incentive opportunity last year (FY 2025-26)?</t>
        </is>
      </c>
      <c r="C10" s="12" t="n"/>
      <c r="D10" s="10" t="inlineStr">
        <is>
          <t>Choose Yes or No.</t>
        </is>
      </c>
      <c r="E10" s="13" t="inlineStr">
        <is>
          <t>Yes</t>
        </is>
      </c>
      <c r="F10" s="10" t="inlineStr">
        <is>
          <t>HR / Board</t>
        </is>
      </c>
      <c r="G10" s="10">
        <f>IF(C10="","To do","OK")</f>
        <v/>
      </c>
    </row>
    <row r="11" ht="32" customHeight="1">
      <c r="A11" s="9" t="inlineStr">
        <is>
          <t>3A.5</t>
        </is>
      </c>
      <c r="B11" s="10" t="inlineStr">
        <is>
          <t>Bonus paid for last year (FY 2025-26) ($)  [Answer only if 3A.4 is Yes.]</t>
        </is>
      </c>
      <c r="C11" s="14" t="n"/>
      <c r="D11" s="10" t="inlineStr">
        <is>
          <t>Whole dollars. Enter 0 if there was an opportunity but nothing was paid.</t>
        </is>
      </c>
      <c r="E11" s="15" t="n">
        <v>13000</v>
      </c>
      <c r="F11" s="10" t="inlineStr">
        <is>
          <t>HR / Board</t>
        </is>
      </c>
      <c r="G11" s="10">
        <f>IF(C10="",IF(C11="","Answer 3A.4 first","Check: answer 3A.4 first"),IF(C10="Yes",IF(C11="","To do",IF(NOT(ISNUMBER(C11)),"Check: enter a number only, without symbols",IF(OR(C11&lt;0,C11&gt;99999999999),"Check: must be from 0 to 99,999,999,999",IF(C11&lt;&gt;INT(C11),"Check: whole numbers only",IF(OR(C11&lt;0,C11&gt;100000),"Confirm: outside the expected range (0 to 100,000)","OK"))))),IF(C11="","Not needed","Check: not needed - clear this entry")))</f>
        <v/>
      </c>
    </row>
    <row r="12" ht="32" customHeight="1">
      <c r="A12" s="9" t="inlineStr">
        <is>
          <t>3A.6</t>
        </is>
      </c>
      <c r="B12" s="10" t="inlineStr">
        <is>
          <t>How was last year's bonus amount determined?  [Answer only if 3A.4 is Yes.]</t>
        </is>
      </c>
      <c r="C12" s="12" t="n"/>
      <c r="D12" s="10" t="inlineStr">
        <is>
          <t>Choose from the list.</t>
        </is>
      </c>
      <c r="E12" s="13" t="inlineStr">
        <is>
          <t>Discretionary</t>
        </is>
      </c>
      <c r="F12" s="10" t="inlineStr">
        <is>
          <t>HR / Board</t>
        </is>
      </c>
      <c r="G12" s="10">
        <f>IF(C10="",IF(C12="","Answer 3A.4 first","Check: answer 3A.4 first"),IF(C10="Yes",IF(C12="","To do","OK"),IF(C12="","Not needed","Check: not needed - clear this entry")))</f>
        <v/>
      </c>
    </row>
    <row r="13" ht="32" customHeight="1">
      <c r="A13" s="9" t="inlineStr">
        <is>
          <t>3A.7</t>
        </is>
      </c>
      <c r="B13" s="10" t="inlineStr">
        <is>
          <t>Describe how the bonus was determined  [Answer only if 3A.6 is Other.]</t>
        </is>
      </c>
      <c r="C13" s="12" t="n"/>
      <c r="D13" s="10" t="inlineStr">
        <is>
          <t>Short description.</t>
        </is>
      </c>
      <c r="E13" s="13" t="inlineStr"/>
      <c r="F13" s="10" t="inlineStr">
        <is>
          <t>HR / Board</t>
        </is>
      </c>
      <c r="G13" s="10">
        <f>IF(C12="",IF(C13="","Answer 3A.6 first","Check: answer 3A.6 first"),IF(C12="Other",IF(C13="","To do","OK"),IF(C13="","Not needed","Check: not needed - clear this entry")))</f>
        <v/>
      </c>
    </row>
    <row r="14">
      <c r="A14" s="4" t="inlineStr">
        <is>
          <t>3B: Retirement, deferred compensation, and supplemental benefits (employer-funded annual amounts for the current year)</t>
        </is>
      </c>
      <c r="B14" s="5" t="n"/>
      <c r="C14" s="5" t="n"/>
      <c r="D14" s="5" t="n"/>
      <c r="E14" s="5" t="n"/>
      <c r="F14" s="5" t="n"/>
      <c r="G14" s="5" t="n"/>
    </row>
    <row r="15" ht="45.5" customHeight="1">
      <c r="A15" s="9" t="inlineStr">
        <is>
          <t>3B.1</t>
        </is>
      </c>
      <c r="B15" s="10" t="inlineStr">
        <is>
          <t>Employer contribution to the standard retirement plan available to all employees, as a percentage of the President / CEO's base salary</t>
        </is>
      </c>
      <c r="C15" s="16" t="n"/>
      <c r="D15" s="10" t="inlineStr">
        <is>
          <t>Percent with up to one decimal. Enter 3 for 3%, not 0.03. Enter 0 if none.</t>
        </is>
      </c>
      <c r="E15" s="17" t="n">
        <v>5</v>
      </c>
      <c r="F15" s="10" t="inlineStr">
        <is>
          <t>HR</t>
        </is>
      </c>
      <c r="G15" s="10">
        <f>IF(C15="","To do",IF(NOT(ISNUMBER(C15)),"Check: enter a number only, without symbols",IF(OR(C15&lt;0,C15&gt;999),"Check: must be from 0 to 999",IF(OR(C15&lt;0,C15&gt;20),"Confirm: outside the expected range (0 to 20)","OK"))))</f>
        <v/>
      </c>
    </row>
    <row r="16" ht="32" customHeight="1">
      <c r="A16" s="9" t="inlineStr">
        <is>
          <t>3B.2</t>
        </is>
      </c>
      <c r="B16" s="10" t="inlineStr">
        <is>
          <t>Annual employer contribution to supplemental or executive plans - 457(b), 457(f), SERP ($)</t>
        </is>
      </c>
      <c r="C16" s="14" t="n"/>
      <c r="D16" s="10" t="inlineStr">
        <is>
          <t>Whole dollars. Enter 0 if none.</t>
        </is>
      </c>
      <c r="E16" s="15" t="n">
        <v>0</v>
      </c>
      <c r="F16" s="10" t="inlineStr">
        <is>
          <t>HR / Board</t>
        </is>
      </c>
      <c r="G16" s="10">
        <f>IF(C16="","To do",IF(NOT(ISNUMBER(C16)),"Check: enter a number only, without symbols",IF(OR(C16&lt;0,C16&gt;99999999999),"Check: must be from 0 to 99,999,999,999",IF(C16&lt;&gt;INT(C16),"Check: whole numbers only",IF(OR(C16&lt;0,C16&gt;200000),"Confirm: outside the expected range (0 to 200,000)","OK")))))</f>
        <v/>
      </c>
    </row>
    <row r="17" ht="18.5" customHeight="1">
      <c r="A17" s="9" t="inlineStr">
        <is>
          <t>3B.3</t>
        </is>
      </c>
      <c r="B17" s="10" t="inlineStr">
        <is>
          <t>Housing or housing allowance ($)</t>
        </is>
      </c>
      <c r="C17" s="14" t="n"/>
      <c r="D17" s="10" t="inlineStr">
        <is>
          <t>Whole dollars. Enter 0 if not provided.</t>
        </is>
      </c>
      <c r="E17" s="15" t="n">
        <v>30000</v>
      </c>
      <c r="F17" s="10" t="inlineStr">
        <is>
          <t>Finance / President's office</t>
        </is>
      </c>
      <c r="G17" s="10">
        <f>IF(C17="","To do",IF(NOT(ISNUMBER(C17)),"Check: enter a number only, without symbols",IF(OR(C17&lt;0,C17&gt;99999999999),"Check: must be from 0 to 99,999,999,999",IF(C17&lt;&gt;INT(C17),"Check: whole numbers only",IF(OR(C17&lt;0,C17&gt;200000),"Confirm: outside the expected range (0 to 200,000)","OK")))))</f>
        <v/>
      </c>
    </row>
    <row r="18" ht="18.5" customHeight="1">
      <c r="A18" s="9" t="inlineStr">
        <is>
          <t>3B.4</t>
        </is>
      </c>
      <c r="B18" s="10" t="inlineStr">
        <is>
          <t>Vehicle or vehicle allowance ($)</t>
        </is>
      </c>
      <c r="C18" s="14" t="n"/>
      <c r="D18" s="10" t="inlineStr">
        <is>
          <t>Whole dollars. Enter 0 if not provided.</t>
        </is>
      </c>
      <c r="E18" s="15" t="n">
        <v>6000</v>
      </c>
      <c r="F18" s="10" t="inlineStr">
        <is>
          <t>Finance / President's office</t>
        </is>
      </c>
      <c r="G18" s="10">
        <f>IF(C18="","To do",IF(NOT(ISNUMBER(C18)),"Check: enter a number only, without symbols",IF(OR(C18&lt;0,C18&gt;99999999999),"Check: must be from 0 to 99,999,999,999",IF(C18&lt;&gt;INT(C18),"Check: whole numbers only",IF(OR(C18&lt;0,C18&gt;40000),"Confirm: outside the expected range (0 to 40,000)","OK")))))</f>
        <v/>
      </c>
    </row>
    <row r="19" ht="18.5" customHeight="1">
      <c r="A19" s="9" t="inlineStr">
        <is>
          <t>3B.5</t>
        </is>
      </c>
      <c r="B19" s="10" t="inlineStr">
        <is>
          <t>Health and social club dues ($)</t>
        </is>
      </c>
      <c r="C19" s="14" t="n"/>
      <c r="D19" s="10" t="inlineStr">
        <is>
          <t>Whole dollars. Enter 0 if not provided.</t>
        </is>
      </c>
      <c r="E19" s="15" t="n">
        <v>1500</v>
      </c>
      <c r="F19" s="10" t="inlineStr">
        <is>
          <t>Finance / President's office</t>
        </is>
      </c>
      <c r="G19" s="10">
        <f>IF(C19="","To do",IF(NOT(ISNUMBER(C19)),"Check: enter a number only, without symbols",IF(OR(C19&lt;0,C19&gt;99999999999),"Check: must be from 0 to 99,999,999,999",IF(C19&lt;&gt;INT(C19),"Check: whole numbers only",IF(OR(C19&lt;0,C19&gt;30000),"Confirm: outside the expected range (0 to 30,000)","OK")))))</f>
        <v/>
      </c>
    </row>
    <row r="20" ht="18.5" customHeight="1">
      <c r="A20" s="9" t="inlineStr">
        <is>
          <t>3B.6</t>
        </is>
      </c>
      <c r="B20" s="10" t="inlineStr">
        <is>
          <t>Executive physical or wellness allowance ($)</t>
        </is>
      </c>
      <c r="C20" s="14" t="n"/>
      <c r="D20" s="10" t="inlineStr">
        <is>
          <t>Whole dollars. Enter 0 if not provided.</t>
        </is>
      </c>
      <c r="E20" s="15" t="n">
        <v>0</v>
      </c>
      <c r="F20" s="10" t="inlineStr">
        <is>
          <t>HR</t>
        </is>
      </c>
      <c r="G20" s="10">
        <f>IF(C20="","To do",IF(NOT(ISNUMBER(C20)),"Check: enter a number only, without symbols",IF(OR(C20&lt;0,C20&gt;99999999999),"Check: must be from 0 to 99,999,999,999",IF(C20&lt;&gt;INT(C20),"Check: whole numbers only",IF(OR(C20&lt;0,C20&gt;15000),"Confirm: outside the expected range (0 to 15,000)","OK")))))</f>
        <v/>
      </c>
    </row>
    <row r="21" ht="18.5" customHeight="1">
      <c r="A21" s="9" t="inlineStr">
        <is>
          <t>3B.7</t>
        </is>
      </c>
      <c r="B21" s="10" t="inlineStr">
        <is>
          <t>Dependent tuition ($)</t>
        </is>
      </c>
      <c r="C21" s="14" t="n"/>
      <c r="D21" s="10" t="inlineStr">
        <is>
          <t>Whole dollars. Enter 0 if not provided.</t>
        </is>
      </c>
      <c r="E21" s="15" t="n">
        <v>0</v>
      </c>
      <c r="F21" s="10" t="inlineStr">
        <is>
          <t>HR</t>
        </is>
      </c>
      <c r="G21" s="10">
        <f>IF(C21="","To do",IF(NOT(ISNUMBER(C21)),"Check: enter a number only, without symbols",IF(OR(C21&lt;0,C21&gt;99999999999),"Check: must be from 0 to 99,999,999,999",IF(C21&lt;&gt;INT(C21),"Check: whole numbers only",IF(OR(C21&lt;0,C21&gt;100000),"Confirm: outside the expected range (0 to 100,000)","OK")))))</f>
        <v/>
      </c>
    </row>
    <row r="22" ht="18.5" customHeight="1">
      <c r="A22" s="9" t="inlineStr">
        <is>
          <t>3B.8</t>
        </is>
      </c>
      <c r="B22" s="10" t="inlineStr">
        <is>
          <t>Phone or technology allowance ($)</t>
        </is>
      </c>
      <c r="C22" s="14" t="n"/>
      <c r="D22" s="10" t="inlineStr">
        <is>
          <t>Whole dollars. Enter 0 if not provided.</t>
        </is>
      </c>
      <c r="E22" s="15" t="n">
        <v>900</v>
      </c>
      <c r="F22" s="10" t="inlineStr">
        <is>
          <t>Finance / President's office</t>
        </is>
      </c>
      <c r="G22" s="10">
        <f>IF(C22="","To do",IF(NOT(ISNUMBER(C22)),"Check: enter a number only, without symbols",IF(OR(C22&lt;0,C22&gt;99999999999),"Check: must be from 0 to 99,999,999,999",IF(C22&lt;&gt;INT(C22),"Check: whole numbers only",IF(OR(C22&lt;0,C22&gt;6000),"Confirm: outside the expected range (0 to 6,000)","OK")))))</f>
        <v/>
      </c>
    </row>
    <row r="23" ht="32" customHeight="1">
      <c r="A23" s="9" t="inlineStr">
        <is>
          <t>3B.9</t>
        </is>
      </c>
      <c r="B23" s="10" t="inlineStr">
        <is>
          <t>Executive life insurance - annual premium ($)</t>
        </is>
      </c>
      <c r="C23" s="14" t="n"/>
      <c r="D23" s="10" t="inlineStr">
        <is>
          <t>Whole dollars. The yearly cost, not the coverage amount. Enter 0 if not provided.</t>
        </is>
      </c>
      <c r="E23" s="15" t="n">
        <v>1800</v>
      </c>
      <c r="F23" s="10" t="inlineStr">
        <is>
          <t>HR</t>
        </is>
      </c>
      <c r="G23" s="10">
        <f>IF(C23="","To do",IF(NOT(ISNUMBER(C23)),"Check: enter a number only, without symbols",IF(OR(C23&lt;0,C23&gt;99999999999),"Check: must be from 0 to 99,999,999,999",IF(C23&lt;&gt;INT(C23),"Check: whole numbers only",IF(OR(C23&lt;0,C23&gt;30000),"Confirm: outside the expected range (0 to 30,000)","OK")))))</f>
        <v/>
      </c>
    </row>
    <row r="24" ht="32" customHeight="1">
      <c r="A24" s="9" t="inlineStr">
        <is>
          <t>3B.10</t>
        </is>
      </c>
      <c r="B24" s="10" t="inlineStr">
        <is>
          <t>Executive life insurance - coverage (face) amount ($)  [Answer only if 3B.9 is more than 0.]</t>
        </is>
      </c>
      <c r="C24" s="14" t="n"/>
      <c r="D24" s="10" t="inlineStr">
        <is>
          <t>Whole dollars. The amount of coverage, not the yearly cost.</t>
        </is>
      </c>
      <c r="E24" s="15" t="n">
        <v>500000</v>
      </c>
      <c r="F24" s="10" t="inlineStr">
        <is>
          <t>HR</t>
        </is>
      </c>
      <c r="G24" s="10">
        <f>IF(C23="",IF(C24="","Answer 3B.9 first","Check: answer 3B.9 first"),IF(AND(ISNUMBER(C23),C23&gt;0),IF(C24="","To do",IF(NOT(ISNUMBER(C24)),"Check: enter a number only, without symbols",IF(OR(C24&lt;0,C24&gt;99999999999),"Check: must be from 0 to 99,999,999,999",IF(C24&lt;&gt;INT(C24),"Check: whole numbers only",IF(OR(C24&lt;0,C24&gt;3000000),"Confirm: outside the expected range (0 to 3,000,000)","OK"))))),IF(C24="","Not needed","Check: not needed - clear this entry")))</f>
        <v/>
      </c>
    </row>
    <row r="25" ht="18.5" customHeight="1">
      <c r="A25" s="9" t="inlineStr">
        <is>
          <t>3B.11</t>
        </is>
      </c>
      <c r="B25" s="10" t="inlineStr">
        <is>
          <t>Executive disability insurance - annual premium ($)</t>
        </is>
      </c>
      <c r="C25" s="14" t="n"/>
      <c r="D25" s="10" t="inlineStr">
        <is>
          <t>Whole dollars. Enter 0 if not provided.</t>
        </is>
      </c>
      <c r="E25" s="15" t="n">
        <v>0</v>
      </c>
      <c r="F25" s="10" t="inlineStr">
        <is>
          <t>HR</t>
        </is>
      </c>
      <c r="G25" s="10">
        <f>IF(C25="","To do",IF(NOT(ISNUMBER(C25)),"Check: enter a number only, without symbols",IF(OR(C25&lt;0,C25&gt;99999999999),"Check: must be from 0 to 99,999,999,999",IF(C25&lt;&gt;INT(C25),"Check: whole numbers only",IF(OR(C25&lt;0,C25&gt;15000),"Confirm: outside the expected range (0 to 15,000)","OK")))))</f>
        <v/>
      </c>
    </row>
    <row r="26" ht="18.5" customHeight="1">
      <c r="A26" s="9" t="inlineStr">
        <is>
          <t>3B.12</t>
        </is>
      </c>
      <c r="B26" s="10" t="inlineStr">
        <is>
          <t>Other supplemental benefits - total annual value ($)</t>
        </is>
      </c>
      <c r="C26" s="14" t="n"/>
      <c r="D26" s="10" t="inlineStr">
        <is>
          <t>Whole dollars. Enter 0 if none.</t>
        </is>
      </c>
      <c r="E26" s="15" t="n">
        <v>2500</v>
      </c>
      <c r="F26" s="10" t="inlineStr">
        <is>
          <t>HR / President's office</t>
        </is>
      </c>
      <c r="G26" s="10">
        <f>IF(C26="","To do",IF(NOT(ISNUMBER(C26)),"Check: enter a number only, without symbols",IF(OR(C26&lt;0,C26&gt;99999999999),"Check: must be from 0 to 99,999,999,999",IF(C26&lt;&gt;INT(C26),"Check: whole numbers only",IF(OR(C26&lt;0,C26&gt;50000),"Confirm: outside the expected range (0 to 50,000)","OK")))))</f>
        <v/>
      </c>
    </row>
    <row r="27" ht="32" customHeight="1">
      <c r="A27" s="9" t="inlineStr">
        <is>
          <t>3B.13</t>
        </is>
      </c>
      <c r="B27" s="10" t="inlineStr">
        <is>
          <t>Describe the other supplemental benefits  [Answer only if 3B.12 is more than 0.]</t>
        </is>
      </c>
      <c r="C27" s="12" t="n"/>
      <c r="D27" s="10" t="inlineStr">
        <is>
          <t>Short description.</t>
        </is>
      </c>
      <c r="E27" s="13" t="inlineStr">
        <is>
          <t>Long-term care policy</t>
        </is>
      </c>
      <c r="F27" s="10" t="inlineStr">
        <is>
          <t>HR / President's office</t>
        </is>
      </c>
      <c r="G27" s="10">
        <f>IF(C26="",IF(C27="","Answer 3B.12 first","Check: answer 3B.12 first"),IF(AND(ISNUMBER(C26),C26&gt;0),IF(C27="","To do","OK"),IF(C27="","Not needed","Check: not needed - clear this entry")))</f>
        <v/>
      </c>
    </row>
    <row r="28">
      <c r="A28" s="4" t="inlineStr">
        <is>
          <t>3C: Experience and contract provisions</t>
        </is>
      </c>
      <c r="B28" s="5" t="n"/>
      <c r="C28" s="5" t="n"/>
      <c r="D28" s="5" t="n"/>
      <c r="E28" s="5" t="n"/>
      <c r="F28" s="5" t="n"/>
      <c r="G28" s="5" t="n"/>
    </row>
    <row r="29" ht="18.5" customHeight="1">
      <c r="A29" s="9" t="inlineStr">
        <is>
          <t>3C.1</t>
        </is>
      </c>
      <c r="B29" s="10" t="inlineStr">
        <is>
          <t>Completed years as President / CEO at this institution</t>
        </is>
      </c>
      <c r="C29" s="14" t="n"/>
      <c r="D29" s="10" t="inlineStr">
        <is>
          <t>Whole number. Enter 0 if this is the first year.</t>
        </is>
      </c>
      <c r="E29" s="15" t="n">
        <v>6</v>
      </c>
      <c r="F29" s="10" t="inlineStr">
        <is>
          <t>President's office</t>
        </is>
      </c>
      <c r="G29" s="10">
        <f>IF(C29="","To do",IF(NOT(ISNUMBER(C29)),"Check: enter a number only, without symbols",IF(OR(C29&lt;0,C29&gt;999999),"Check: must be from 0 to 999,999",IF(C29&lt;&gt;INT(C29),"Check: whole numbers only",IF(OR(C29&lt;0,C29&gt;45),"Confirm: outside the expected range (0 to 45)","OK")))))</f>
        <v/>
      </c>
    </row>
    <row r="30" ht="32" customHeight="1">
      <c r="A30" s="9" t="inlineStr">
        <is>
          <t>3C.2</t>
        </is>
      </c>
      <c r="B30" s="10" t="inlineStr">
        <is>
          <t>Completed years as a President / CEO at other institutions of higher education before this one</t>
        </is>
      </c>
      <c r="C30" s="14" t="n"/>
      <c r="D30" s="10" t="inlineStr">
        <is>
          <t>Whole number. Enter 0 if none.</t>
        </is>
      </c>
      <c r="E30" s="15" t="n">
        <v>2</v>
      </c>
      <c r="F30" s="10" t="inlineStr">
        <is>
          <t>President's office</t>
        </is>
      </c>
      <c r="G30" s="10">
        <f>IF(C30="","To do",IF(NOT(ISNUMBER(C30)),"Check: enter a number only, without symbols",IF(OR(C30&lt;0,C30&gt;999999),"Check: must be from 0 to 999,999",IF(C30&lt;&gt;INT(C30),"Check: whole numbers only",IF(OR(C30&lt;0,C30&gt;45),"Confirm: outside the expected range (0 to 45)","OK")))))</f>
        <v/>
      </c>
    </row>
    <row r="31" ht="32" customHeight="1">
      <c r="A31" s="9" t="inlineStr">
        <is>
          <t>3C.3</t>
        </is>
      </c>
      <c r="B31" s="10" t="inlineStr">
        <is>
          <t>Does the President / CEO have an employment contract for this role?</t>
        </is>
      </c>
      <c r="C31" s="12" t="n"/>
      <c r="D31" s="10" t="inlineStr">
        <is>
          <t>Choose Yes or No.</t>
        </is>
      </c>
      <c r="E31" s="13" t="inlineStr">
        <is>
          <t>Yes</t>
        </is>
      </c>
      <c r="F31" s="10" t="inlineStr">
        <is>
          <t>Board / President's office</t>
        </is>
      </c>
      <c r="G31" s="10">
        <f>IF(C31="","To do","OK")</f>
        <v/>
      </c>
    </row>
    <row r="32" ht="45.5" customHeight="1">
      <c r="A32" s="9" t="inlineStr">
        <is>
          <t>3C.4</t>
        </is>
      </c>
      <c r="B32" s="10" t="inlineStr">
        <is>
          <t>What type of contract does the President / CEO have?  [Answer only if 3C.3 is Yes.]</t>
        </is>
      </c>
      <c r="C32" s="12" t="n"/>
      <c r="D32" s="10" t="inlineStr">
        <is>
          <t>Fixed term ends on a set date unless renewed. Evergreen / rolling renews automatically so that a set term always remains.</t>
        </is>
      </c>
      <c r="E32" s="13" t="inlineStr">
        <is>
          <t>Fixed term</t>
        </is>
      </c>
      <c r="F32" s="10" t="inlineStr">
        <is>
          <t>Board / President's office</t>
        </is>
      </c>
      <c r="G32" s="10">
        <f>IF(C31="",IF(C32="","Answer 3C.3 first","Check: answer 3C.3 first"),IF(C31="Yes",IF(C32="","To do","OK"),IF(C32="","Not needed","Check: not needed - clear this entry")))</f>
        <v/>
      </c>
    </row>
    <row r="33" ht="18.5" customHeight="1">
      <c r="A33" s="9" t="inlineStr">
        <is>
          <t>3C.5</t>
        </is>
      </c>
      <c r="B33" s="10" t="inlineStr">
        <is>
          <t>Describe the contract type  [Answer only if 3C.4 is Other.]</t>
        </is>
      </c>
      <c r="C33" s="12" t="n"/>
      <c r="D33" s="10" t="inlineStr">
        <is>
          <t>Short description.</t>
        </is>
      </c>
      <c r="E33" s="13" t="inlineStr"/>
      <c r="F33" s="10" t="inlineStr">
        <is>
          <t>Board / President's office</t>
        </is>
      </c>
      <c r="G33" s="10">
        <f>IF(C32="",IF(C33="","Answer 3C.4 first","Check: answer 3C.4 first"),IF(C32="Other",IF(C33="","To do","OK"),IF(C33="","Not needed","Check: not needed - clear this entry")))</f>
        <v/>
      </c>
    </row>
    <row r="34" ht="32" customHeight="1">
      <c r="A34" s="9" t="inlineStr">
        <is>
          <t>3C.6</t>
        </is>
      </c>
      <c r="B34" s="10" t="inlineStr">
        <is>
          <t>Term of the current contract, in years  [Answer only if 3C.4 is Fixed term or Evergreen / rolling.]</t>
        </is>
      </c>
      <c r="C34" s="14" t="n"/>
      <c r="D34" s="10" t="inlineStr">
        <is>
          <t>Whole number of years. For an evergreen / rolling contract, enter the rolling term.</t>
        </is>
      </c>
      <c r="E34" s="15" t="n">
        <v>3</v>
      </c>
      <c r="F34" s="10" t="inlineStr">
        <is>
          <t>Board / President's office</t>
        </is>
      </c>
      <c r="G34" s="10">
        <f>IF(C32="",IF(C34="","Answer 3C.4 first","Check: answer 3C.4 first"),IF(OR(C32="Fixed term",C32="Evergreen / rolling"),IF(C34="","To do",IF(NOT(ISNUMBER(C34)),"Check: enter a number only, without symbols",IF(OR(C34&lt;0,C34&gt;999999),"Check: must be from 0 to 999,999",IF(C34&lt;&gt;INT(C34),"Check: whole numbers only",IF(OR(C34&lt;1,C34&gt;10),"Confirm: outside the expected range (1 to 10)","OK"))))),IF(C34="","Not needed","Check: not needed - clear this entry")))</f>
        <v/>
      </c>
    </row>
    <row r="35" ht="32" customHeight="1">
      <c r="A35" s="9" t="inlineStr">
        <is>
          <t>3C.7</t>
        </is>
      </c>
      <c r="B35" s="10" t="inlineStr">
        <is>
          <t>Does the contract have a severance provision for termination without cause?  [Answer only if 3C.3 is Yes.]</t>
        </is>
      </c>
      <c r="C35" s="12" t="n"/>
      <c r="D35" s="10" t="inlineStr">
        <is>
          <t>Choose Yes or No.</t>
        </is>
      </c>
      <c r="E35" s="13" t="inlineStr">
        <is>
          <t>Yes</t>
        </is>
      </c>
      <c r="F35" s="10" t="inlineStr">
        <is>
          <t>Board / President's office</t>
        </is>
      </c>
      <c r="G35" s="10">
        <f>IF(C31="",IF(C35="","Answer 3C.3 first","Check: answer 3C.3 first"),IF(C31="Yes",IF(C35="","To do","OK"),IF(C35="","Not needed","Check: not needed - clear this entry")))</f>
        <v/>
      </c>
    </row>
    <row r="36" ht="32" customHeight="1">
      <c r="A36" s="9" t="inlineStr">
        <is>
          <t>3C.8</t>
        </is>
      </c>
      <c r="B36" s="10" t="inlineStr">
        <is>
          <t>What is the payment basis for severance?  [Answer only if 3C.7 is Yes.]</t>
        </is>
      </c>
      <c r="C36" s="12" t="n"/>
      <c r="D36" s="10" t="inlineStr">
        <is>
          <t>Choose from the list.</t>
        </is>
      </c>
      <c r="E36" s="13" t="inlineStr">
        <is>
          <t>Base only</t>
        </is>
      </c>
      <c r="F36" s="10" t="inlineStr">
        <is>
          <t>Board / President's office</t>
        </is>
      </c>
      <c r="G36" s="10">
        <f>IF(C35="",IF(C36="","Answer 3C.7 first","Check: answer 3C.7 first"),IF(C35="Yes",IF(C36="","To do","OK"),IF(C36="","Not needed","Check: not needed - clear this entry")))</f>
        <v/>
      </c>
    </row>
    <row r="37" ht="32" customHeight="1">
      <c r="A37" s="9" t="inlineStr">
        <is>
          <t>3C.9</t>
        </is>
      </c>
      <c r="B37" s="10" t="inlineStr">
        <is>
          <t>Describe the severance payment basis  [Answer only if 3C.8 is Other.]</t>
        </is>
      </c>
      <c r="C37" s="12" t="n"/>
      <c r="D37" s="10" t="inlineStr">
        <is>
          <t>Short description.</t>
        </is>
      </c>
      <c r="E37" s="13" t="inlineStr"/>
      <c r="F37" s="10" t="inlineStr">
        <is>
          <t>Board / President's office</t>
        </is>
      </c>
      <c r="G37" s="10">
        <f>IF(C36="",IF(C37="","Answer 3C.8 first","Check: answer 3C.8 first"),IF(C36="Other",IF(C37="","To do","OK"),IF(C37="","Not needed","Check: not needed - clear this entry")))</f>
        <v/>
      </c>
    </row>
    <row r="38" ht="18.5" customHeight="1">
      <c r="A38" s="9" t="inlineStr">
        <is>
          <t>3C.10</t>
        </is>
      </c>
      <c r="B38" s="10" t="inlineStr">
        <is>
          <t>Severance term, in months  [Answer only if 3C.7 is Yes.]</t>
        </is>
      </c>
      <c r="C38" s="14" t="n"/>
      <c r="D38" s="10" t="inlineStr">
        <is>
          <t>Whole number of months.</t>
        </is>
      </c>
      <c r="E38" s="15" t="n">
        <v>12</v>
      </c>
      <c r="F38" s="10" t="inlineStr">
        <is>
          <t>Board / President's office</t>
        </is>
      </c>
      <c r="G38" s="10">
        <f>IF(C35="",IF(C38="","Answer 3C.7 first","Check: answer 3C.7 first"),IF(C35="Yes",IF(C38="","To do",IF(NOT(ISNUMBER(C38)),"Check: enter a number only, without symbols",IF(OR(C38&lt;0,C38&gt;999999),"Check: must be from 0 to 999,999",IF(C38&lt;&gt;INT(C38),"Check: whole numbers only",IF(OR(C38&lt;1,C38&gt;36),"Confirm: outside the expected range (1 to 36)","OK"))))),IF(C38="","Not needed","Check: not needed - clear this entry")))</f>
        <v/>
      </c>
    </row>
    <row r="39" ht="18.5" customHeight="1">
      <c r="A39" s="9" t="inlineStr">
        <is>
          <t>3C.11</t>
        </is>
      </c>
      <c r="B39" s="10" t="inlineStr">
        <is>
          <t>Does the President / CEO have tenure?</t>
        </is>
      </c>
      <c r="C39" s="12" t="n"/>
      <c r="D39" s="10" t="inlineStr">
        <is>
          <t>Choose Yes or No.</t>
        </is>
      </c>
      <c r="E39" s="13" t="inlineStr">
        <is>
          <t>No</t>
        </is>
      </c>
      <c r="F39" s="10" t="inlineStr">
        <is>
          <t>President's office</t>
        </is>
      </c>
      <c r="G39" s="10">
        <f>IF(C39="","To do","OK")</f>
        <v/>
      </c>
    </row>
    <row r="40" ht="18.5" customHeight="1">
      <c r="A40" s="9" t="inlineStr">
        <is>
          <t>3C.12</t>
        </is>
      </c>
      <c r="B40" s="10" t="inlineStr">
        <is>
          <t>Is the President / CEO eligible for sabbatical leave?</t>
        </is>
      </c>
      <c r="C40" s="12" t="n"/>
      <c r="D40" s="10" t="inlineStr">
        <is>
          <t>Choose Yes or No.</t>
        </is>
      </c>
      <c r="E40" s="13" t="inlineStr">
        <is>
          <t>Yes</t>
        </is>
      </c>
      <c r="F40" s="10" t="inlineStr">
        <is>
          <t>President's office</t>
        </is>
      </c>
      <c r="G40" s="10">
        <f>IF(C40="","To do","OK")</f>
        <v/>
      </c>
    </row>
    <row r="41" ht="32" customHeight="1">
      <c r="A41" s="9" t="inlineStr">
        <is>
          <t>3C.13</t>
        </is>
      </c>
      <c r="B41" s="10" t="inlineStr">
        <is>
          <t>What is the sabbatical leave policy?  [Answer only if 3C.12 is Yes.]</t>
        </is>
      </c>
      <c r="C41" s="12" t="n"/>
      <c r="D41" s="10" t="inlineStr">
        <is>
          <t>Choose from the list.</t>
        </is>
      </c>
      <c r="E41" s="13" t="inlineStr">
        <is>
          <t>Different than faculty</t>
        </is>
      </c>
      <c r="F41" s="10" t="inlineStr">
        <is>
          <t>President's office</t>
        </is>
      </c>
      <c r="G41" s="10">
        <f>IF(C40="",IF(C41="","Answer 3C.12 first","Check: answer 3C.12 first"),IF(C40="Yes",IF(C41="","To do","OK"),IF(C41="","Not needed","Check: not needed - clear this entry")))</f>
        <v/>
      </c>
    </row>
  </sheetData>
  <sheetProtection selectLockedCells="0" selectUnlockedCells="0" sheet="1" objects="0" insertRows="1" insertHyperlinks="1" autoFilter="1" scenarios="0" formatColumns="0" deleteColumns="1" insertColumns="1" pivotTables="1" deleteRows="1" formatCells="1" formatRows="0" sort="1" password="D869"/>
  <conditionalFormatting sqref="G7:G41">
    <cfRule type="expression" priority="1" dxfId="0">
      <formula>G7="OK"</formula>
    </cfRule>
    <cfRule type="expression" priority="2" dxfId="1">
      <formula>LEFT(G7,5)="Check"</formula>
    </cfRule>
    <cfRule type="expression" priority="3" dxfId="2">
      <formula>LEFT(G7,7)="Confirm"</formula>
    </cfRule>
    <cfRule type="expression" priority="4" dxfId="3">
      <formula>OR(G7="To do",LEFT(G7,6)="Answer")</formula>
    </cfRule>
    <cfRule type="expression" priority="5" dxfId="4">
      <formula>OR(G7="Not needed",G7="Optional")</formula>
    </cfRule>
  </conditionalFormatting>
  <dataValidations count="29">
    <dataValidation sqref="C7" showDropDown="0" showInputMessage="0" showErrorMessage="1" allowBlank="1" errorTitle="Outside the expected range" error="The expected range is 50,000 to 1,000,000. Click Yes to keep this value if it is correct, or No to change it. Enter a whole number without symbols." type="whole" errorStyle="warning" operator="between">
      <formula1>50000</formula1>
      <formula2>1000000</formula2>
    </dataValidation>
    <dataValidation sqref="C8" showDropDown="0" showInputMessage="0" showErrorMessage="1" allowBlank="1" errorTitle="Not an option" error="Choose one of the listed options." type="list">
      <formula1>"Yes,No"</formula1>
    </dataValidation>
    <dataValidation sqref="C9" showDropDown="0" showInputMessage="0" showErrorMessage="1" allowBlank="1" errorTitle="Outside the expected range" error="The expected range is 0 to 100. Click Yes to keep this value if it is correct, or No to change it. Enter a number without symbols." type="decimal" errorStyle="warning" operator="between">
      <formula1>0</formula1>
      <formula2>100</formula2>
    </dataValidation>
    <dataValidation sqref="C10" showDropDown="0" showInputMessage="0" showErrorMessage="1" allowBlank="1" errorTitle="Not an option" error="Choose one of the listed options." type="list">
      <formula1>"Yes,No"</formula1>
    </dataValidation>
    <dataValidation sqref="C11" showDropDown="0" showInputMessage="0" showErrorMessage="1" allowBlank="1" errorTitle="Outside the expected range" error="The expected range is 0 to 100,000. Click Yes to keep this value if it is correct, or No to change it. Enter a whole number without symbols." type="whole" errorStyle="warning" operator="between">
      <formula1>0</formula1>
      <formula2>100000</formula2>
    </dataValidation>
    <dataValidation sqref="C12" showDropDown="0" showInputMessage="0" showErrorMessage="1" allowBlank="1" errorTitle="Not an option" error="Choose one of the listed options." type="list">
      <formula1>"Discretionary,Achievement of objectives,Across-the-board (same as all employees),Other"</formula1>
    </dataValidation>
    <dataValidation sqref="C15" showDropDown="0" showInputMessage="0" showErrorMessage="1" allowBlank="1" errorTitle="Outside the expected range" error="The expected range is 0 to 20. Click Yes to keep this value if it is correct, or No to change it. Enter a number without symbols." type="decimal" errorStyle="warning" operator="between">
      <formula1>0</formula1>
      <formula2>20</formula2>
    </dataValidation>
    <dataValidation sqref="C16" showDropDown="0" showInputMessage="0" showErrorMessage="1" allowBlank="1" errorTitle="Outside the expected range" error="The expected range is 0 to 200,000. Click Yes to keep this value if it is correct, or No to change it. Enter a whole number without symbols." type="whole" errorStyle="warning" operator="between">
      <formula1>0</formula1>
      <formula2>200000</formula2>
    </dataValidation>
    <dataValidation sqref="C17" showDropDown="0" showInputMessage="0" showErrorMessage="1" allowBlank="1" errorTitle="Outside the expected range" error="The expected range is 0 to 200,000. Click Yes to keep this value if it is correct, or No to change it. Enter a whole number without symbols." type="whole" errorStyle="warning" operator="between">
      <formula1>0</formula1>
      <formula2>200000</formula2>
    </dataValidation>
    <dataValidation sqref="C18" showDropDown="0" showInputMessage="0" showErrorMessage="1" allowBlank="1" errorTitle="Outside the expected range" error="The expected range is 0 to 40,000. Click Yes to keep this value if it is correct, or No to change it. Enter a whole number without symbols." type="whole" errorStyle="warning" operator="between">
      <formula1>0</formula1>
      <formula2>40000</formula2>
    </dataValidation>
    <dataValidation sqref="C19" showDropDown="0" showInputMessage="0" showErrorMessage="1" allowBlank="1" errorTitle="Outside the expected range" error="The expected range is 0 to 30,000. Click Yes to keep this value if it is correct, or No to change it. Enter a whole number without symbols." type="whole" errorStyle="warning" operator="between">
      <formula1>0</formula1>
      <formula2>30000</formula2>
    </dataValidation>
    <dataValidation sqref="C20" showDropDown="0" showInputMessage="0" showErrorMessage="1" allowBlank="1" errorTitle="Outside the expected range" error="The expected range is 0 to 15,000. Click Yes to keep this value if it is correct, or No to change it. Enter a whole number without symbols." type="whole" errorStyle="warning" operator="between">
      <formula1>0</formula1>
      <formula2>15000</formula2>
    </dataValidation>
    <dataValidation sqref="C21" showDropDown="0" showInputMessage="0" showErrorMessage="1" allowBlank="1" errorTitle="Outside the expected range" error="The expected range is 0 to 100,000. Click Yes to keep this value if it is correct, or No to change it. Enter a whole number without symbols." type="whole" errorStyle="warning" operator="between">
      <formula1>0</formula1>
      <formula2>100000</formula2>
    </dataValidation>
    <dataValidation sqref="C22" showDropDown="0" showInputMessage="0" showErrorMessage="1" allowBlank="1" errorTitle="Outside the expected range" error="The expected range is 0 to 6,000. Click Yes to keep this value if it is correct, or No to change it. Enter a whole number without symbols." type="whole" errorStyle="warning" operator="between">
      <formula1>0</formula1>
      <formula2>6000</formula2>
    </dataValidation>
    <dataValidation sqref="C23" showDropDown="0" showInputMessage="0" showErrorMessage="1" allowBlank="1" errorTitle="Outside the expected range" error="The expected range is 0 to 30,000. Click Yes to keep this value if it is correct, or No to change it. Enter a whole number without symbols." type="whole" errorStyle="warning" operator="between">
      <formula1>0</formula1>
      <formula2>30000</formula2>
    </dataValidation>
    <dataValidation sqref="C24" showDropDown="0" showInputMessage="0" showErrorMessage="1" allowBlank="1" errorTitle="Outside the expected range" error="The expected range is 0 to 3,000,000. Click Yes to keep this value if it is correct, or No to change it. Enter a whole number without symbols." type="whole" errorStyle="warning" operator="between">
      <formula1>0</formula1>
      <formula2>3000000</formula2>
    </dataValidation>
    <dataValidation sqref="C25" showDropDown="0" showInputMessage="0" showErrorMessage="1" allowBlank="1" errorTitle="Outside the expected range" error="The expected range is 0 to 15,000. Click Yes to keep this value if it is correct, or No to change it. Enter a whole number without symbols." type="whole" errorStyle="warning" operator="between">
      <formula1>0</formula1>
      <formula2>15000</formula2>
    </dataValidation>
    <dataValidation sqref="C26" showDropDown="0" showInputMessage="0" showErrorMessage="1" allowBlank="1" errorTitle="Outside the expected range" error="The expected range is 0 to 50,000. Click Yes to keep this value if it is correct, or No to change it. Enter a whole number without symbols." type="whole" errorStyle="warning" operator="between">
      <formula1>0</formula1>
      <formula2>50000</formula2>
    </dataValidation>
    <dataValidation sqref="C29" showDropDown="0" showInputMessage="0" showErrorMessage="1" allowBlank="1" errorTitle="Outside the expected range" error="The expected range is 0 to 45. Click Yes to keep this value if it is correct, or No to change it. Enter a whole number without symbols." type="whole" errorStyle="warning" operator="between">
      <formula1>0</formula1>
      <formula2>45</formula2>
    </dataValidation>
    <dataValidation sqref="C30" showDropDown="0" showInputMessage="0" showErrorMessage="1" allowBlank="1" errorTitle="Outside the expected range" error="The expected range is 0 to 45. Click Yes to keep this value if it is correct, or No to change it. Enter a whole number without symbols." type="whole" errorStyle="warning" operator="between">
      <formula1>0</formula1>
      <formula2>45</formula2>
    </dataValidation>
    <dataValidation sqref="C31" showDropDown="0" showInputMessage="0" showErrorMessage="1" allowBlank="1" errorTitle="Not an option" error="Choose one of the listed options." type="list">
      <formula1>"Yes,No"</formula1>
    </dataValidation>
    <dataValidation sqref="C32" showDropDown="0" showInputMessage="0" showErrorMessage="1" allowBlank="1" errorTitle="Not an option" error="Choose one of the listed options." type="list">
      <formula1>"Fixed term,Evergreen / rolling,Other"</formula1>
    </dataValidation>
    <dataValidation sqref="C34" showDropDown="0" showInputMessage="0" showErrorMessage="1" allowBlank="1" errorTitle="Outside the expected range" error="The expected range is 1 to 10. Click Yes to keep this value if it is correct, or No to change it. Enter a whole number without symbols." type="whole" errorStyle="warning" operator="between">
      <formula1>1</formula1>
      <formula2>10</formula2>
    </dataValidation>
    <dataValidation sqref="C35" showDropDown="0" showInputMessage="0" showErrorMessage="1" allowBlank="1" errorTitle="Not an option" error="Choose one of the listed options." type="list">
      <formula1>"Yes,No"</formula1>
    </dataValidation>
    <dataValidation sqref="C36" showDropDown="0" showInputMessage="0" showErrorMessage="1" allowBlank="1" errorTitle="Not an option" error="Choose one of the listed options." type="list">
      <formula1>"Base only,Base plus benefits,Other"</formula1>
    </dataValidation>
    <dataValidation sqref="C38" showDropDown="0" showInputMessage="0" showErrorMessage="1" allowBlank="1" errorTitle="Outside the expected range" error="The expected range is 1 to 36. Click Yes to keep this value if it is correct, or No to change it. Enter a whole number without symbols." type="whole" errorStyle="warning" operator="between">
      <formula1>1</formula1>
      <formula2>36</formula2>
    </dataValidation>
    <dataValidation sqref="C39" showDropDown="0" showInputMessage="0" showErrorMessage="1" allowBlank="1" errorTitle="Not an option" error="Choose one of the listed options." type="list">
      <formula1>"Yes,No"</formula1>
    </dataValidation>
    <dataValidation sqref="C40" showDropDown="0" showInputMessage="0" showErrorMessage="1" allowBlank="1" errorTitle="Not an option" error="Choose one of the listed options." type="list">
      <formula1>"Yes,No"</formula1>
    </dataValidation>
    <dataValidation sqref="C41" showDropDown="0" showInputMessage="0" showErrorMessage="1" allowBlank="1" errorTitle="Not an option" error="Choose one of the listed options." type="list">
      <formula1>"Same as faculty,Different than faculty"</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G9"/>
  <sheetViews>
    <sheetView workbookViewId="0">
      <pane ySplit="5" topLeftCell="A6" activePane="bottomLeft" state="frozen"/>
      <selection pane="bottomLeft" activeCell="A1" sqref="A1"/>
    </sheetView>
  </sheetViews>
  <sheetFormatPr baseColWidth="8" defaultRowHeight="15"/>
  <cols>
    <col width="7" customWidth="1" min="1" max="1"/>
    <col width="58" customWidth="1" min="2" max="2"/>
    <col width="24" customWidth="1" min="3" max="3"/>
    <col width="42" customWidth="1" min="4" max="4"/>
    <col width="18" customWidth="1" min="5" max="5"/>
    <col width="26" customWidth="1" min="6" max="6"/>
    <col width="40" customWidth="1" min="7" max="7"/>
  </cols>
  <sheetData>
    <row r="1">
      <c r="A1" s="1" t="inlineStr">
        <is>
          <t>Section 4: Additional Input</t>
        </is>
      </c>
    </row>
    <row r="2">
      <c r="A2" s="3" t="inlineStr">
        <is>
          <t>Spouse role and any context that helps interpret the figures.</t>
        </is>
      </c>
    </row>
    <row r="3">
      <c r="A3" s="3" t="inlineStr">
        <is>
          <t>Enter values only in the shaded cells in column C. Column G tells you whether each entry is complete.</t>
        </is>
      </c>
    </row>
    <row r="5">
      <c r="A5" s="7" t="inlineStr">
        <is>
          <t>Item</t>
        </is>
      </c>
      <c r="B5" s="7" t="inlineStr">
        <is>
          <t>Question</t>
        </is>
      </c>
      <c r="C5" s="7" t="inlineStr">
        <is>
          <t>Your entry</t>
        </is>
      </c>
      <c r="D5" s="7" t="inlineStr">
        <is>
          <t>How to enter</t>
        </is>
      </c>
      <c r="E5" s="7" t="inlineStr">
        <is>
          <t>Example</t>
        </is>
      </c>
      <c r="F5" s="7" t="inlineStr">
        <is>
          <t>Usually held by</t>
        </is>
      </c>
      <c r="G5" s="7" t="inlineStr">
        <is>
          <t>Check</t>
        </is>
      </c>
    </row>
    <row r="6" ht="86" customHeight="1">
      <c r="A6" s="9" t="inlineStr">
        <is>
          <t>4.1</t>
        </is>
      </c>
      <c r="B6" s="10" t="inlineStr">
        <is>
          <t>Which category best describes the role of the President / CEO's spouse at the institution? Ceremonial: appears at events and conferences with the President / CEO. Ambassadorial: appears at events and conferences in place of the President / CEO. Institutional: holds a defined position at the institution. Not applicable: no spouse, or no role.</t>
        </is>
      </c>
      <c r="C6" s="12" t="n"/>
      <c r="D6" s="10" t="inlineStr">
        <is>
          <t>Choose from the list.</t>
        </is>
      </c>
      <c r="E6" s="13" t="inlineStr">
        <is>
          <t>Ceremonial</t>
        </is>
      </c>
      <c r="F6" s="10" t="inlineStr">
        <is>
          <t>President's office</t>
        </is>
      </c>
      <c r="G6" s="10">
        <f>IF(C6="","To do","OK")</f>
        <v/>
      </c>
    </row>
    <row r="7" ht="32" customHeight="1">
      <c r="A7" s="9" t="inlineStr">
        <is>
          <t>4.2</t>
        </is>
      </c>
      <c r="B7" s="10" t="inlineStr">
        <is>
          <t>Annual compensation paid to the spouse by the institution ($)  [Answer only if 4.1 is Ceremonial or Ambassadorial or Institutional.]</t>
        </is>
      </c>
      <c r="C7" s="14" t="n"/>
      <c r="D7" s="10" t="inlineStr">
        <is>
          <t>Whole dollars. Enter 0 if the spouse is not paid.</t>
        </is>
      </c>
      <c r="E7" s="15" t="n">
        <v>0</v>
      </c>
      <c r="F7" s="10" t="inlineStr">
        <is>
          <t>HR</t>
        </is>
      </c>
      <c r="G7" s="10">
        <f>IF(C6="",IF(C7="","Answer 4.1 first","Check: answer 4.1 first"),IF(OR(C6="Ceremonial",C6="Ambassadorial",C6="Institutional"),IF(C7="","To do",IF(NOT(ISNUMBER(C7)),"Check: enter a number only, without symbols",IF(OR(C7&lt;0,C7&gt;99999999999),"Check: must be from 0 to 99,999,999,999",IF(C7&lt;&gt;INT(C7),"Check: whole numbers only",IF(OR(C7&lt;0,C7&gt;400000),"Confirm: outside the expected range (0 to 400,000)","OK"))))),IF(C7="","Not needed","Check: not needed - clear this entry")))</f>
        <v/>
      </c>
    </row>
    <row r="8" ht="32" customHeight="1">
      <c r="A8" s="9" t="inlineStr">
        <is>
          <t>4.3</t>
        </is>
      </c>
      <c r="B8" s="10" t="inlineStr">
        <is>
          <t>Anything needed to explain or put in context executive compensation practices at your institution</t>
        </is>
      </c>
      <c r="C8" s="12" t="n"/>
      <c r="D8" s="10" t="inlineStr">
        <is>
          <t>Optional.</t>
        </is>
      </c>
      <c r="E8" s="13" t="inlineStr"/>
      <c r="F8" s="10" t="inlineStr">
        <is>
          <t>Any</t>
        </is>
      </c>
      <c r="G8" s="10">
        <f>IF(C8="","Optional","OK")</f>
        <v/>
      </c>
    </row>
    <row r="9" ht="18.5" customHeight="1">
      <c r="A9" s="9" t="inlineStr">
        <is>
          <t>4.4</t>
        </is>
      </c>
      <c r="B9" s="10" t="inlineStr">
        <is>
          <t>Suggestions for improving next year's survey</t>
        </is>
      </c>
      <c r="C9" s="12" t="n"/>
      <c r="D9" s="10" t="inlineStr">
        <is>
          <t>Optional.</t>
        </is>
      </c>
      <c r="E9" s="13" t="inlineStr"/>
      <c r="F9" s="10" t="inlineStr">
        <is>
          <t>Any</t>
        </is>
      </c>
      <c r="G9" s="10">
        <f>IF(C9="","Optional","OK")</f>
        <v/>
      </c>
    </row>
  </sheetData>
  <sheetProtection selectLockedCells="0" selectUnlockedCells="0" sheet="1" objects="0" insertRows="1" insertHyperlinks="1" autoFilter="1" scenarios="0" formatColumns="0" deleteColumns="1" insertColumns="1" pivotTables="1" deleteRows="1" formatCells="1" formatRows="0" sort="1" password="D869"/>
  <conditionalFormatting sqref="G6:G9">
    <cfRule type="expression" priority="1" dxfId="0">
      <formula>G6="OK"</formula>
    </cfRule>
    <cfRule type="expression" priority="2" dxfId="1">
      <formula>LEFT(G6,5)="Check"</formula>
    </cfRule>
    <cfRule type="expression" priority="3" dxfId="2">
      <formula>LEFT(G6,7)="Confirm"</formula>
    </cfRule>
    <cfRule type="expression" priority="4" dxfId="3">
      <formula>OR(G6="To do",LEFT(G6,6)="Answer")</formula>
    </cfRule>
    <cfRule type="expression" priority="5" dxfId="4">
      <formula>OR(G6="Not needed",G6="Optional")</formula>
    </cfRule>
  </conditionalFormatting>
  <dataValidations count="2">
    <dataValidation sqref="C6" showDropDown="0" showInputMessage="0" showErrorMessage="1" allowBlank="1" errorTitle="Not an option" error="Choose one of the listed options." type="list">
      <formula1>"Ceremonial,Ambassadorial,Institutional,Not applicable"</formula1>
    </dataValidation>
    <dataValidation sqref="C7" showDropDown="0" showInputMessage="0" showErrorMessage="1" allowBlank="1" errorTitle="Outside the expected range" error="The expected range is 0 to 400,000. Click Yes to keep this value if it is correct, or No to change it. Enter a whole number without symbols." type="whole" errorStyle="warning" operator="between">
      <formula1>0</formula1>
      <formula2>400000</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sheetPr>
  <dimension ref="A1:D132"/>
  <sheetViews>
    <sheetView workbookViewId="0">
      <selection activeCell="A1" sqref="A1"/>
    </sheetView>
  </sheetViews>
  <sheetFormatPr baseColWidth="8" defaultRowHeight="15"/>
  <cols>
    <col width="26" customWidth="1" min="1" max="1"/>
    <col width="8" customWidth="1" min="2" max="2"/>
    <col width="70" customWidth="1" min="3" max="3"/>
    <col width="24" customWidth="1" min="4" max="4"/>
  </cols>
  <sheetData>
    <row r="1">
      <c r="A1" s="20" t="inlineStr">
        <is>
          <t>TAG</t>
        </is>
      </c>
      <c r="B1" s="20" t="inlineStr">
        <is>
          <t>ITEM</t>
        </is>
      </c>
      <c r="C1" s="20" t="inlineStr">
        <is>
          <t>LABEL</t>
        </is>
      </c>
      <c r="D1" s="20" t="inlineStr">
        <is>
          <t>VALUE</t>
        </is>
      </c>
    </row>
    <row r="2">
      <c r="A2" s="21" t="inlineStr">
        <is>
          <t>HIGHEST_DEGREE</t>
        </is>
      </c>
      <c r="B2" s="21" t="inlineStr">
        <is>
          <t>1.1</t>
        </is>
      </c>
      <c r="C2" s="21" t="inlineStr">
        <is>
          <t>Highest degree granted</t>
        </is>
      </c>
      <c r="D2" s="21">
        <f>IF('1 Institution'!C6="","",'1 Institution'!C6)</f>
        <v/>
      </c>
    </row>
    <row r="3">
      <c r="A3" s="21" t="inlineStr">
        <is>
          <t>FY_END</t>
        </is>
      </c>
      <c r="B3" s="21" t="inlineStr">
        <is>
          <t>1.2</t>
        </is>
      </c>
      <c r="C3" s="21" t="inlineStr">
        <is>
          <t>Last day of your fiscal year</t>
        </is>
      </c>
      <c r="D3" s="21">
        <f>IF('1 Institution'!C7="","",'1 Institution'!C7)</f>
        <v/>
      </c>
    </row>
    <row r="4">
      <c r="A4" s="21" t="inlineStr">
        <is>
          <t>FY_END_TEXT</t>
        </is>
      </c>
      <c r="B4" s="21" t="inlineStr">
        <is>
          <t>1.3</t>
        </is>
      </c>
      <c r="C4" s="21" t="inlineStr">
        <is>
          <t>Fiscal year end date</t>
        </is>
      </c>
      <c r="D4" s="21">
        <f>IF('1 Institution'!C8="","",'1 Institution'!C8)</f>
        <v/>
      </c>
    </row>
    <row r="5">
      <c r="A5" s="21" t="inlineStr">
        <is>
          <t>ENDOWMENT</t>
        </is>
      </c>
      <c r="B5" s="21" t="inlineStr">
        <is>
          <t>1.4</t>
        </is>
      </c>
      <c r="C5" s="21" t="inlineStr">
        <is>
          <t>Total endowment - market value at the end of your last fiscal year (FY 2025-26) ($)</t>
        </is>
      </c>
      <c r="D5" s="21">
        <f>IF('1 Institution'!C9="","",'1 Institution'!C9)</f>
        <v/>
      </c>
    </row>
    <row r="6">
      <c r="A6" s="21" t="inlineStr">
        <is>
          <t>EXPENSES</t>
        </is>
      </c>
      <c r="B6" s="21" t="inlineStr">
        <is>
          <t>1.5</t>
        </is>
      </c>
      <c r="C6" s="21" t="inlineStr">
        <is>
          <t>Total annual expenses for your last fiscal year (FY 2025-26) ($)</t>
        </is>
      </c>
      <c r="D6" s="21">
        <f>IF('1 Institution'!C10="","",'1 Institution'!C10)</f>
        <v/>
      </c>
    </row>
    <row r="7">
      <c r="A7" s="21" t="inlineStr">
        <is>
          <t>UG_FTE</t>
        </is>
      </c>
      <c r="B7" s="21" t="inlineStr">
        <is>
          <t>1.6</t>
        </is>
      </c>
      <c r="C7" s="21" t="inlineStr">
        <is>
          <t>Undergraduate student full-time equivalent (FTE) for Fall 2026</t>
        </is>
      </c>
      <c r="D7" s="21">
        <f>IF('1 Institution'!C11="","",'1 Institution'!C11)</f>
        <v/>
      </c>
    </row>
    <row r="8">
      <c r="A8" s="21" t="inlineStr">
        <is>
          <t>GRAD_FTE</t>
        </is>
      </c>
      <c r="B8" s="21" t="inlineStr">
        <is>
          <t>1.7</t>
        </is>
      </c>
      <c r="C8" s="21" t="inlineStr">
        <is>
          <t>Graduate student full-time equivalent (FTE) for Fall 2026</t>
        </is>
      </c>
      <c r="D8" s="21">
        <f>IF('1 Institution'!C12="","",'1 Institution'!C12)</f>
        <v/>
      </c>
    </row>
    <row r="9">
      <c r="A9" s="21" t="inlineStr">
        <is>
          <t>SAL_BUDGET_LAST</t>
        </is>
      </c>
      <c r="B9" s="21" t="inlineStr">
        <is>
          <t>1.8</t>
        </is>
      </c>
      <c r="C9" s="21" t="inlineStr">
        <is>
          <t>Percentage of salary budgeted for increases in the last fiscal year (FY 2025-26)</t>
        </is>
      </c>
      <c r="D9" s="21">
        <f>IF('1 Institution'!C13="","",'1 Institution'!C13)</f>
        <v/>
      </c>
    </row>
    <row r="10">
      <c r="A10" s="21" t="inlineStr">
        <is>
          <t>SAL_BUDGET_CURRENT</t>
        </is>
      </c>
      <c r="B10" s="21" t="inlineStr">
        <is>
          <t>1.9</t>
        </is>
      </c>
      <c r="C10" s="21" t="inlineStr">
        <is>
          <t>Percentage of salary budgeted for increases in the current fiscal year (FY 2026-27)</t>
        </is>
      </c>
      <c r="D10" s="21">
        <f>IF('1 Institution'!C14="","",'1 Institution'!C14)</f>
        <v/>
      </c>
    </row>
    <row r="11">
      <c r="A11" s="21" t="inlineStr">
        <is>
          <t>MAX_CONTRIBUTION</t>
        </is>
      </c>
      <c r="B11" s="21" t="inlineStr">
        <is>
          <t>1.10</t>
        </is>
      </c>
      <c r="C11" s="21" t="inlineStr">
        <is>
          <t>Maximum employer contribution, as a percentage of salary, that an employee can earn in the qualified retirement plan</t>
        </is>
      </c>
      <c r="D11" s="21">
        <f>IF('1 Institution'!C15="","",'1 Institution'!C15)</f>
        <v/>
      </c>
    </row>
    <row r="12">
      <c r="A12" s="21" t="inlineStr">
        <is>
          <t>CFO_YN</t>
        </is>
      </c>
      <c r="B12" s="21" t="inlineStr">
        <is>
          <t>2.1</t>
        </is>
      </c>
      <c r="C12" s="21" t="inlineStr">
        <is>
          <t>Chief Business / Financial Officer - full-time incumbent</t>
        </is>
      </c>
      <c r="D12" s="21">
        <f>IF('2 Admin Leaders'!C11="","",'2 Admin Leaders'!C11)</f>
        <v/>
      </c>
    </row>
    <row r="13">
      <c r="A13" s="21" t="inlineStr">
        <is>
          <t>CFO_REPORTS</t>
        </is>
      </c>
      <c r="B13" s="21" t="inlineStr">
        <is>
          <t>2.1</t>
        </is>
      </c>
      <c r="C13" s="21" t="inlineStr">
        <is>
          <t>Chief Business / Financial Officer - reports directly to President / CEO</t>
        </is>
      </c>
      <c r="D13" s="21">
        <f>IF('2 Admin Leaders'!D11="","",'2 Admin Leaders'!D11)</f>
        <v/>
      </c>
    </row>
    <row r="14">
      <c r="A14" s="21" t="inlineStr">
        <is>
          <t>CFO_BASE</t>
        </is>
      </c>
      <c r="B14" s="21" t="inlineStr">
        <is>
          <t>2.1</t>
        </is>
      </c>
      <c r="C14" s="21" t="inlineStr">
        <is>
          <t>Chief Business / Financial Officer - base salary</t>
        </is>
      </c>
      <c r="D14" s="21">
        <f>IF('2 Admin Leaders'!E11="","",'2 Admin Leaders'!E11)</f>
        <v/>
      </c>
    </row>
    <row r="15">
      <c r="A15" s="21" t="inlineStr">
        <is>
          <t>CFO_BONUS</t>
        </is>
      </c>
      <c r="B15" s="21" t="inlineStr">
        <is>
          <t>2.1</t>
        </is>
      </c>
      <c r="C15" s="21" t="inlineStr">
        <is>
          <t>Chief Business / Financial Officer - bonus paid</t>
        </is>
      </c>
      <c r="D15" s="21">
        <f>IF('2 Admin Leaders'!F11="","",'2 Admin Leaders'!F11)</f>
        <v/>
      </c>
    </row>
    <row r="16">
      <c r="A16" s="21" t="inlineStr">
        <is>
          <t>CFO_YEARS</t>
        </is>
      </c>
      <c r="B16" s="21" t="inlineStr">
        <is>
          <t>2.1</t>
        </is>
      </c>
      <c r="C16" s="21" t="inlineStr">
        <is>
          <t>Chief Business / Financial Officer - completed years in role</t>
        </is>
      </c>
      <c r="D16" s="21">
        <f>IF('2 Admin Leaders'!G11="","",'2 Admin Leaders'!G11)</f>
        <v/>
      </c>
    </row>
    <row r="17">
      <c r="A17" s="21" t="inlineStr">
        <is>
          <t>CFO_NOTES</t>
        </is>
      </c>
      <c r="B17" s="21" t="inlineStr">
        <is>
          <t>2.1</t>
        </is>
      </c>
      <c r="C17" s="21" t="inlineStr">
        <is>
          <t>Chief Business / Financial Officer - notes</t>
        </is>
      </c>
      <c r="D17" s="21">
        <f>IF('2 Admin Leaders'!H11="","",'2 Admin Leaders'!H11)</f>
        <v/>
      </c>
    </row>
    <row r="18">
      <c r="A18" s="21" t="inlineStr">
        <is>
          <t>COO_YN</t>
        </is>
      </c>
      <c r="B18" s="21" t="inlineStr">
        <is>
          <t>2.2</t>
        </is>
      </c>
      <c r="C18" s="21" t="inlineStr">
        <is>
          <t>Chief Operating Officer - full-time incumbent</t>
        </is>
      </c>
      <c r="D18" s="21">
        <f>IF('2 Admin Leaders'!C12="","",'2 Admin Leaders'!C12)</f>
        <v/>
      </c>
    </row>
    <row r="19">
      <c r="A19" s="21" t="inlineStr">
        <is>
          <t>COO_REPORTS</t>
        </is>
      </c>
      <c r="B19" s="21" t="inlineStr">
        <is>
          <t>2.2</t>
        </is>
      </c>
      <c r="C19" s="21" t="inlineStr">
        <is>
          <t>Chief Operating Officer - reports directly to President / CEO</t>
        </is>
      </c>
      <c r="D19" s="21">
        <f>IF('2 Admin Leaders'!D12="","",'2 Admin Leaders'!D12)</f>
        <v/>
      </c>
    </row>
    <row r="20">
      <c r="A20" s="21" t="inlineStr">
        <is>
          <t>COO_BASE</t>
        </is>
      </c>
      <c r="B20" s="21" t="inlineStr">
        <is>
          <t>2.2</t>
        </is>
      </c>
      <c r="C20" s="21" t="inlineStr">
        <is>
          <t>Chief Operating Officer - base salary</t>
        </is>
      </c>
      <c r="D20" s="21">
        <f>IF('2 Admin Leaders'!E12="","",'2 Admin Leaders'!E12)</f>
        <v/>
      </c>
    </row>
    <row r="21">
      <c r="A21" s="21" t="inlineStr">
        <is>
          <t>COO_BONUS</t>
        </is>
      </c>
      <c r="B21" s="21" t="inlineStr">
        <is>
          <t>2.2</t>
        </is>
      </c>
      <c r="C21" s="21" t="inlineStr">
        <is>
          <t>Chief Operating Officer - bonus paid</t>
        </is>
      </c>
      <c r="D21" s="21">
        <f>IF('2 Admin Leaders'!F12="","",'2 Admin Leaders'!F12)</f>
        <v/>
      </c>
    </row>
    <row r="22">
      <c r="A22" s="21" t="inlineStr">
        <is>
          <t>COO_YEARS</t>
        </is>
      </c>
      <c r="B22" s="21" t="inlineStr">
        <is>
          <t>2.2</t>
        </is>
      </c>
      <c r="C22" s="21" t="inlineStr">
        <is>
          <t>Chief Operating Officer - completed years in role</t>
        </is>
      </c>
      <c r="D22" s="21">
        <f>IF('2 Admin Leaders'!G12="","",'2 Admin Leaders'!G12)</f>
        <v/>
      </c>
    </row>
    <row r="23">
      <c r="A23" s="21" t="inlineStr">
        <is>
          <t>COO_NOTES</t>
        </is>
      </c>
      <c r="B23" s="21" t="inlineStr">
        <is>
          <t>2.2</t>
        </is>
      </c>
      <c r="C23" s="21" t="inlineStr">
        <is>
          <t>Chief Operating Officer - notes</t>
        </is>
      </c>
      <c r="D23" s="21">
        <f>IF('2 Admin Leaders'!H12="","",'2 Admin Leaders'!H12)</f>
        <v/>
      </c>
    </row>
    <row r="24">
      <c r="A24" s="21" t="inlineStr">
        <is>
          <t>CONTROLLER_YN</t>
        </is>
      </c>
      <c r="B24" s="21" t="inlineStr">
        <is>
          <t>2.3</t>
        </is>
      </c>
      <c r="C24" s="21" t="inlineStr">
        <is>
          <t>Controller - full-time incumbent</t>
        </is>
      </c>
      <c r="D24" s="21">
        <f>IF('2 Admin Leaders'!C13="","",'2 Admin Leaders'!C13)</f>
        <v/>
      </c>
    </row>
    <row r="25">
      <c r="A25" s="21" t="inlineStr">
        <is>
          <t>CONTROLLER_REPORTS</t>
        </is>
      </c>
      <c r="B25" s="21" t="inlineStr">
        <is>
          <t>2.3</t>
        </is>
      </c>
      <c r="C25" s="21" t="inlineStr">
        <is>
          <t>Controller - reports directly to President / CEO</t>
        </is>
      </c>
      <c r="D25" s="21">
        <f>IF('2 Admin Leaders'!D13="","",'2 Admin Leaders'!D13)</f>
        <v/>
      </c>
    </row>
    <row r="26">
      <c r="A26" s="21" t="inlineStr">
        <is>
          <t>CONTROLLER_BASE</t>
        </is>
      </c>
      <c r="B26" s="21" t="inlineStr">
        <is>
          <t>2.3</t>
        </is>
      </c>
      <c r="C26" s="21" t="inlineStr">
        <is>
          <t>Controller - base salary</t>
        </is>
      </c>
      <c r="D26" s="21">
        <f>IF('2 Admin Leaders'!E13="","",'2 Admin Leaders'!E13)</f>
        <v/>
      </c>
    </row>
    <row r="27">
      <c r="A27" s="21" t="inlineStr">
        <is>
          <t>CONTROLLER_BONUS</t>
        </is>
      </c>
      <c r="B27" s="21" t="inlineStr">
        <is>
          <t>2.3</t>
        </is>
      </c>
      <c r="C27" s="21" t="inlineStr">
        <is>
          <t>Controller - bonus paid</t>
        </is>
      </c>
      <c r="D27" s="21">
        <f>IF('2 Admin Leaders'!F13="","",'2 Admin Leaders'!F13)</f>
        <v/>
      </c>
    </row>
    <row r="28">
      <c r="A28" s="21" t="inlineStr">
        <is>
          <t>CONTROLLER_YEARS</t>
        </is>
      </c>
      <c r="B28" s="21" t="inlineStr">
        <is>
          <t>2.3</t>
        </is>
      </c>
      <c r="C28" s="21" t="inlineStr">
        <is>
          <t>Controller - completed years in role</t>
        </is>
      </c>
      <c r="D28" s="21">
        <f>IF('2 Admin Leaders'!G13="","",'2 Admin Leaders'!G13)</f>
        <v/>
      </c>
    </row>
    <row r="29">
      <c r="A29" s="21" t="inlineStr">
        <is>
          <t>CONTROLLER_NOTES</t>
        </is>
      </c>
      <c r="B29" s="21" t="inlineStr">
        <is>
          <t>2.3</t>
        </is>
      </c>
      <c r="C29" s="21" t="inlineStr">
        <is>
          <t>Controller - notes</t>
        </is>
      </c>
      <c r="D29" s="21">
        <f>IF('2 Admin Leaders'!H13="","",'2 Admin Leaders'!H13)</f>
        <v/>
      </c>
    </row>
    <row r="30">
      <c r="A30" s="21" t="inlineStr">
        <is>
          <t>CHRO_YN</t>
        </is>
      </c>
      <c r="B30" s="21" t="inlineStr">
        <is>
          <t>2.4</t>
        </is>
      </c>
      <c r="C30" s="21" t="inlineStr">
        <is>
          <t>Chief Human Resources Officer - full-time incumbent</t>
        </is>
      </c>
      <c r="D30" s="21">
        <f>IF('2 Admin Leaders'!C14="","",'2 Admin Leaders'!C14)</f>
        <v/>
      </c>
    </row>
    <row r="31">
      <c r="A31" s="21" t="inlineStr">
        <is>
          <t>CHRO_REPORTS</t>
        </is>
      </c>
      <c r="B31" s="21" t="inlineStr">
        <is>
          <t>2.4</t>
        </is>
      </c>
      <c r="C31" s="21" t="inlineStr">
        <is>
          <t>Chief Human Resources Officer - reports directly to President / CEO</t>
        </is>
      </c>
      <c r="D31" s="21">
        <f>IF('2 Admin Leaders'!D14="","",'2 Admin Leaders'!D14)</f>
        <v/>
      </c>
    </row>
    <row r="32">
      <c r="A32" s="21" t="inlineStr">
        <is>
          <t>CHRO_BASE</t>
        </is>
      </c>
      <c r="B32" s="21" t="inlineStr">
        <is>
          <t>2.4</t>
        </is>
      </c>
      <c r="C32" s="21" t="inlineStr">
        <is>
          <t>Chief Human Resources Officer - base salary</t>
        </is>
      </c>
      <c r="D32" s="21">
        <f>IF('2 Admin Leaders'!E14="","",'2 Admin Leaders'!E14)</f>
        <v/>
      </c>
    </row>
    <row r="33">
      <c r="A33" s="21" t="inlineStr">
        <is>
          <t>CHRO_BONUS</t>
        </is>
      </c>
      <c r="B33" s="21" t="inlineStr">
        <is>
          <t>2.4</t>
        </is>
      </c>
      <c r="C33" s="21" t="inlineStr">
        <is>
          <t>Chief Human Resources Officer - bonus paid</t>
        </is>
      </c>
      <c r="D33" s="21">
        <f>IF('2 Admin Leaders'!F14="","",'2 Admin Leaders'!F14)</f>
        <v/>
      </c>
    </row>
    <row r="34">
      <c r="A34" s="21" t="inlineStr">
        <is>
          <t>CHRO_YEARS</t>
        </is>
      </c>
      <c r="B34" s="21" t="inlineStr">
        <is>
          <t>2.4</t>
        </is>
      </c>
      <c r="C34" s="21" t="inlineStr">
        <is>
          <t>Chief Human Resources Officer - completed years in role</t>
        </is>
      </c>
      <c r="D34" s="21">
        <f>IF('2 Admin Leaders'!G14="","",'2 Admin Leaders'!G14)</f>
        <v/>
      </c>
    </row>
    <row r="35">
      <c r="A35" s="21" t="inlineStr">
        <is>
          <t>CHRO_NOTES</t>
        </is>
      </c>
      <c r="B35" s="21" t="inlineStr">
        <is>
          <t>2.4</t>
        </is>
      </c>
      <c r="C35" s="21" t="inlineStr">
        <is>
          <t>Chief Human Resources Officer - notes</t>
        </is>
      </c>
      <c r="D35" s="21">
        <f>IF('2 Admin Leaders'!H14="","",'2 Admin Leaders'!H14)</f>
        <v/>
      </c>
    </row>
    <row r="36">
      <c r="A36" s="21" t="inlineStr">
        <is>
          <t>CIO_YN</t>
        </is>
      </c>
      <c r="B36" s="21" t="inlineStr">
        <is>
          <t>2.5</t>
        </is>
      </c>
      <c r="C36" s="21" t="inlineStr">
        <is>
          <t>Chief Information / Technology Officer - full-time incumbent</t>
        </is>
      </c>
      <c r="D36" s="21">
        <f>IF('2 Admin Leaders'!C15="","",'2 Admin Leaders'!C15)</f>
        <v/>
      </c>
    </row>
    <row r="37">
      <c r="A37" s="21" t="inlineStr">
        <is>
          <t>CIO_REPORTS</t>
        </is>
      </c>
      <c r="B37" s="21" t="inlineStr">
        <is>
          <t>2.5</t>
        </is>
      </c>
      <c r="C37" s="21" t="inlineStr">
        <is>
          <t>Chief Information / Technology Officer - reports directly to President / CEO</t>
        </is>
      </c>
      <c r="D37" s="21">
        <f>IF('2 Admin Leaders'!D15="","",'2 Admin Leaders'!D15)</f>
        <v/>
      </c>
    </row>
    <row r="38">
      <c r="A38" s="21" t="inlineStr">
        <is>
          <t>CIO_BASE</t>
        </is>
      </c>
      <c r="B38" s="21" t="inlineStr">
        <is>
          <t>2.5</t>
        </is>
      </c>
      <c r="C38" s="21" t="inlineStr">
        <is>
          <t>Chief Information / Technology Officer - base salary</t>
        </is>
      </c>
      <c r="D38" s="21">
        <f>IF('2 Admin Leaders'!E15="","",'2 Admin Leaders'!E15)</f>
        <v/>
      </c>
    </row>
    <row r="39">
      <c r="A39" s="21" t="inlineStr">
        <is>
          <t>CIO_BONUS</t>
        </is>
      </c>
      <c r="B39" s="21" t="inlineStr">
        <is>
          <t>2.5</t>
        </is>
      </c>
      <c r="C39" s="21" t="inlineStr">
        <is>
          <t>Chief Information / Technology Officer - bonus paid</t>
        </is>
      </c>
      <c r="D39" s="21">
        <f>IF('2 Admin Leaders'!F15="","",'2 Admin Leaders'!F15)</f>
        <v/>
      </c>
    </row>
    <row r="40">
      <c r="A40" s="21" t="inlineStr">
        <is>
          <t>CIO_YEARS</t>
        </is>
      </c>
      <c r="B40" s="21" t="inlineStr">
        <is>
          <t>2.5</t>
        </is>
      </c>
      <c r="C40" s="21" t="inlineStr">
        <is>
          <t>Chief Information / Technology Officer - completed years in role</t>
        </is>
      </c>
      <c r="D40" s="21">
        <f>IF('2 Admin Leaders'!G15="","",'2 Admin Leaders'!G15)</f>
        <v/>
      </c>
    </row>
    <row r="41">
      <c r="A41" s="21" t="inlineStr">
        <is>
          <t>CIO_NOTES</t>
        </is>
      </c>
      <c r="B41" s="21" t="inlineStr">
        <is>
          <t>2.5</t>
        </is>
      </c>
      <c r="C41" s="21" t="inlineStr">
        <is>
          <t>Chief Information / Technology Officer - notes</t>
        </is>
      </c>
      <c r="D41" s="21">
        <f>IF('2 Admin Leaders'!H15="","",'2 Admin Leaders'!H15)</f>
        <v/>
      </c>
    </row>
    <row r="42">
      <c r="A42" s="21" t="inlineStr">
        <is>
          <t>CAO_YN</t>
        </is>
      </c>
      <c r="B42" s="21" t="inlineStr">
        <is>
          <t>2.6</t>
        </is>
      </c>
      <c r="C42" s="21" t="inlineStr">
        <is>
          <t>Chief Academic Officer - full-time incumbent</t>
        </is>
      </c>
      <c r="D42" s="21">
        <f>IF('2 Admin Leaders'!C16="","",'2 Admin Leaders'!C16)</f>
        <v/>
      </c>
    </row>
    <row r="43">
      <c r="A43" s="21" t="inlineStr">
        <is>
          <t>CAO_REPORTS</t>
        </is>
      </c>
      <c r="B43" s="21" t="inlineStr">
        <is>
          <t>2.6</t>
        </is>
      </c>
      <c r="C43" s="21" t="inlineStr">
        <is>
          <t>Chief Academic Officer - reports directly to President / CEO</t>
        </is>
      </c>
      <c r="D43" s="21">
        <f>IF('2 Admin Leaders'!D16="","",'2 Admin Leaders'!D16)</f>
        <v/>
      </c>
    </row>
    <row r="44">
      <c r="A44" s="21" t="inlineStr">
        <is>
          <t>CAO_BASE</t>
        </is>
      </c>
      <c r="B44" s="21" t="inlineStr">
        <is>
          <t>2.6</t>
        </is>
      </c>
      <c r="C44" s="21" t="inlineStr">
        <is>
          <t>Chief Academic Officer - base salary</t>
        </is>
      </c>
      <c r="D44" s="21">
        <f>IF('2 Admin Leaders'!E16="","",'2 Admin Leaders'!E16)</f>
        <v/>
      </c>
    </row>
    <row r="45">
      <c r="A45" s="21" t="inlineStr">
        <is>
          <t>CAO_BONUS</t>
        </is>
      </c>
      <c r="B45" s="21" t="inlineStr">
        <is>
          <t>2.6</t>
        </is>
      </c>
      <c r="C45" s="21" t="inlineStr">
        <is>
          <t>Chief Academic Officer - bonus paid</t>
        </is>
      </c>
      <c r="D45" s="21">
        <f>IF('2 Admin Leaders'!F16="","",'2 Admin Leaders'!F16)</f>
        <v/>
      </c>
    </row>
    <row r="46">
      <c r="A46" s="21" t="inlineStr">
        <is>
          <t>CAO_YEARS</t>
        </is>
      </c>
      <c r="B46" s="21" t="inlineStr">
        <is>
          <t>2.6</t>
        </is>
      </c>
      <c r="C46" s="21" t="inlineStr">
        <is>
          <t>Chief Academic Officer - completed years in role</t>
        </is>
      </c>
      <c r="D46" s="21">
        <f>IF('2 Admin Leaders'!G16="","",'2 Admin Leaders'!G16)</f>
        <v/>
      </c>
    </row>
    <row r="47">
      <c r="A47" s="21" t="inlineStr">
        <is>
          <t>CAO_NOTES</t>
        </is>
      </c>
      <c r="B47" s="21" t="inlineStr">
        <is>
          <t>2.6</t>
        </is>
      </c>
      <c r="C47" s="21" t="inlineStr">
        <is>
          <t>Chief Academic Officer - notes</t>
        </is>
      </c>
      <c r="D47" s="21">
        <f>IF('2 Admin Leaders'!H16="","",'2 Admin Leaders'!H16)</f>
        <v/>
      </c>
    </row>
    <row r="48">
      <c r="A48" s="21" t="inlineStr">
        <is>
          <t>CEMO_YN</t>
        </is>
      </c>
      <c r="B48" s="21" t="inlineStr">
        <is>
          <t>2.7</t>
        </is>
      </c>
      <c r="C48" s="21" t="inlineStr">
        <is>
          <t>Chief Enrollment Management Officer - full-time incumbent</t>
        </is>
      </c>
      <c r="D48" s="21">
        <f>IF('2 Admin Leaders'!C17="","",'2 Admin Leaders'!C17)</f>
        <v/>
      </c>
    </row>
    <row r="49">
      <c r="A49" s="21" t="inlineStr">
        <is>
          <t>CEMO_REPORTS</t>
        </is>
      </c>
      <c r="B49" s="21" t="inlineStr">
        <is>
          <t>2.7</t>
        </is>
      </c>
      <c r="C49" s="21" t="inlineStr">
        <is>
          <t>Chief Enrollment Management Officer - reports directly to President / CEO</t>
        </is>
      </c>
      <c r="D49" s="21">
        <f>IF('2 Admin Leaders'!D17="","",'2 Admin Leaders'!D17)</f>
        <v/>
      </c>
    </row>
    <row r="50">
      <c r="A50" s="21" t="inlineStr">
        <is>
          <t>CEMO_BASE</t>
        </is>
      </c>
      <c r="B50" s="21" t="inlineStr">
        <is>
          <t>2.7</t>
        </is>
      </c>
      <c r="C50" s="21" t="inlineStr">
        <is>
          <t>Chief Enrollment Management Officer - base salary</t>
        </is>
      </c>
      <c r="D50" s="21">
        <f>IF('2 Admin Leaders'!E17="","",'2 Admin Leaders'!E17)</f>
        <v/>
      </c>
    </row>
    <row r="51">
      <c r="A51" s="21" t="inlineStr">
        <is>
          <t>CEMO_BONUS</t>
        </is>
      </c>
      <c r="B51" s="21" t="inlineStr">
        <is>
          <t>2.7</t>
        </is>
      </c>
      <c r="C51" s="21" t="inlineStr">
        <is>
          <t>Chief Enrollment Management Officer - bonus paid</t>
        </is>
      </c>
      <c r="D51" s="21">
        <f>IF('2 Admin Leaders'!F17="","",'2 Admin Leaders'!F17)</f>
        <v/>
      </c>
    </row>
    <row r="52">
      <c r="A52" s="21" t="inlineStr">
        <is>
          <t>CEMO_YEARS</t>
        </is>
      </c>
      <c r="B52" s="21" t="inlineStr">
        <is>
          <t>2.7</t>
        </is>
      </c>
      <c r="C52" s="21" t="inlineStr">
        <is>
          <t>Chief Enrollment Management Officer - completed years in role</t>
        </is>
      </c>
      <c r="D52" s="21">
        <f>IF('2 Admin Leaders'!G17="","",'2 Admin Leaders'!G17)</f>
        <v/>
      </c>
    </row>
    <row r="53">
      <c r="A53" s="21" t="inlineStr">
        <is>
          <t>CEMO_NOTES</t>
        </is>
      </c>
      <c r="B53" s="21" t="inlineStr">
        <is>
          <t>2.7</t>
        </is>
      </c>
      <c r="C53" s="21" t="inlineStr">
        <is>
          <t>Chief Enrollment Management Officer - notes</t>
        </is>
      </c>
      <c r="D53" s="21">
        <f>IF('2 Admin Leaders'!H17="","",'2 Admin Leaders'!H17)</f>
        <v/>
      </c>
    </row>
    <row r="54">
      <c r="A54" s="21" t="inlineStr">
        <is>
          <t>CSAO_YN</t>
        </is>
      </c>
      <c r="B54" s="21" t="inlineStr">
        <is>
          <t>2.8</t>
        </is>
      </c>
      <c r="C54" s="21" t="inlineStr">
        <is>
          <t>Chief Student Affairs Officer - full-time incumbent</t>
        </is>
      </c>
      <c r="D54" s="21">
        <f>IF('2 Admin Leaders'!C18="","",'2 Admin Leaders'!C18)</f>
        <v/>
      </c>
    </row>
    <row r="55">
      <c r="A55" s="21" t="inlineStr">
        <is>
          <t>CSAO_REPORTS</t>
        </is>
      </c>
      <c r="B55" s="21" t="inlineStr">
        <is>
          <t>2.8</t>
        </is>
      </c>
      <c r="C55" s="21" t="inlineStr">
        <is>
          <t>Chief Student Affairs Officer - reports directly to President / CEO</t>
        </is>
      </c>
      <c r="D55" s="21">
        <f>IF('2 Admin Leaders'!D18="","",'2 Admin Leaders'!D18)</f>
        <v/>
      </c>
    </row>
    <row r="56">
      <c r="A56" s="21" t="inlineStr">
        <is>
          <t>CSAO_BASE</t>
        </is>
      </c>
      <c r="B56" s="21" t="inlineStr">
        <is>
          <t>2.8</t>
        </is>
      </c>
      <c r="C56" s="21" t="inlineStr">
        <is>
          <t>Chief Student Affairs Officer - base salary</t>
        </is>
      </c>
      <c r="D56" s="21">
        <f>IF('2 Admin Leaders'!E18="","",'2 Admin Leaders'!E18)</f>
        <v/>
      </c>
    </row>
    <row r="57">
      <c r="A57" s="21" t="inlineStr">
        <is>
          <t>CSAO_BONUS</t>
        </is>
      </c>
      <c r="B57" s="21" t="inlineStr">
        <is>
          <t>2.8</t>
        </is>
      </c>
      <c r="C57" s="21" t="inlineStr">
        <is>
          <t>Chief Student Affairs Officer - bonus paid</t>
        </is>
      </c>
      <c r="D57" s="21">
        <f>IF('2 Admin Leaders'!F18="","",'2 Admin Leaders'!F18)</f>
        <v/>
      </c>
    </row>
    <row r="58">
      <c r="A58" s="21" t="inlineStr">
        <is>
          <t>CSAO_YEARS</t>
        </is>
      </c>
      <c r="B58" s="21" t="inlineStr">
        <is>
          <t>2.8</t>
        </is>
      </c>
      <c r="C58" s="21" t="inlineStr">
        <is>
          <t>Chief Student Affairs Officer - completed years in role</t>
        </is>
      </c>
      <c r="D58" s="21">
        <f>IF('2 Admin Leaders'!G18="","",'2 Admin Leaders'!G18)</f>
        <v/>
      </c>
    </row>
    <row r="59">
      <c r="A59" s="21" t="inlineStr">
        <is>
          <t>CSAO_NOTES</t>
        </is>
      </c>
      <c r="B59" s="21" t="inlineStr">
        <is>
          <t>2.8</t>
        </is>
      </c>
      <c r="C59" s="21" t="inlineStr">
        <is>
          <t>Chief Student Affairs Officer - notes</t>
        </is>
      </c>
      <c r="D59" s="21">
        <f>IF('2 Admin Leaders'!H18="","",'2 Admin Leaders'!H18)</f>
        <v/>
      </c>
    </row>
    <row r="60">
      <c r="A60" s="21" t="inlineStr">
        <is>
          <t>CMIS_YN</t>
        </is>
      </c>
      <c r="B60" s="21" t="inlineStr">
        <is>
          <t>2.9</t>
        </is>
      </c>
      <c r="C60" s="21" t="inlineStr">
        <is>
          <t>Chief Mission Officer - full-time incumbent</t>
        </is>
      </c>
      <c r="D60" s="21">
        <f>IF('2 Admin Leaders'!C19="","",'2 Admin Leaders'!C19)</f>
        <v/>
      </c>
    </row>
    <row r="61">
      <c r="A61" s="21" t="inlineStr">
        <is>
          <t>CMIS_REPORTS</t>
        </is>
      </c>
      <c r="B61" s="21" t="inlineStr">
        <is>
          <t>2.9</t>
        </is>
      </c>
      <c r="C61" s="21" t="inlineStr">
        <is>
          <t>Chief Mission Officer - reports directly to President / CEO</t>
        </is>
      </c>
      <c r="D61" s="21">
        <f>IF('2 Admin Leaders'!D19="","",'2 Admin Leaders'!D19)</f>
        <v/>
      </c>
    </row>
    <row r="62">
      <c r="A62" s="21" t="inlineStr">
        <is>
          <t>CMIS_BASE</t>
        </is>
      </c>
      <c r="B62" s="21" t="inlineStr">
        <is>
          <t>2.9</t>
        </is>
      </c>
      <c r="C62" s="21" t="inlineStr">
        <is>
          <t>Chief Mission Officer - base salary</t>
        </is>
      </c>
      <c r="D62" s="21">
        <f>IF('2 Admin Leaders'!E19="","",'2 Admin Leaders'!E19)</f>
        <v/>
      </c>
    </row>
    <row r="63">
      <c r="A63" s="21" t="inlineStr">
        <is>
          <t>CMIS_BONUS</t>
        </is>
      </c>
      <c r="B63" s="21" t="inlineStr">
        <is>
          <t>2.9</t>
        </is>
      </c>
      <c r="C63" s="21" t="inlineStr">
        <is>
          <t>Chief Mission Officer - bonus paid</t>
        </is>
      </c>
      <c r="D63" s="21">
        <f>IF('2 Admin Leaders'!F19="","",'2 Admin Leaders'!F19)</f>
        <v/>
      </c>
    </row>
    <row r="64">
      <c r="A64" s="21" t="inlineStr">
        <is>
          <t>CMIS_YEARS</t>
        </is>
      </c>
      <c r="B64" s="21" t="inlineStr">
        <is>
          <t>2.9</t>
        </is>
      </c>
      <c r="C64" s="21" t="inlineStr">
        <is>
          <t>Chief Mission Officer - completed years in role</t>
        </is>
      </c>
      <c r="D64" s="21">
        <f>IF('2 Admin Leaders'!G19="","",'2 Admin Leaders'!G19)</f>
        <v/>
      </c>
    </row>
    <row r="65">
      <c r="A65" s="21" t="inlineStr">
        <is>
          <t>CMIS_NOTES</t>
        </is>
      </c>
      <c r="B65" s="21" t="inlineStr">
        <is>
          <t>2.9</t>
        </is>
      </c>
      <c r="C65" s="21" t="inlineStr">
        <is>
          <t>Chief Mission Officer - notes</t>
        </is>
      </c>
      <c r="D65" s="21">
        <f>IF('2 Admin Leaders'!H19="","",'2 Admin Leaders'!H19)</f>
        <v/>
      </c>
    </row>
    <row r="66">
      <c r="A66" s="21" t="inlineStr">
        <is>
          <t>AD_YN</t>
        </is>
      </c>
      <c r="B66" s="21" t="inlineStr">
        <is>
          <t>2.10</t>
        </is>
      </c>
      <c r="C66" s="21" t="inlineStr">
        <is>
          <t>Athletics Director - full-time incumbent</t>
        </is>
      </c>
      <c r="D66" s="21">
        <f>IF('2 Admin Leaders'!C20="","",'2 Admin Leaders'!C20)</f>
        <v/>
      </c>
    </row>
    <row r="67">
      <c r="A67" s="21" t="inlineStr">
        <is>
          <t>AD_REPORTS</t>
        </is>
      </c>
      <c r="B67" s="21" t="inlineStr">
        <is>
          <t>2.10</t>
        </is>
      </c>
      <c r="C67" s="21" t="inlineStr">
        <is>
          <t>Athletics Director - reports directly to President / CEO</t>
        </is>
      </c>
      <c r="D67" s="21">
        <f>IF('2 Admin Leaders'!D20="","",'2 Admin Leaders'!D20)</f>
        <v/>
      </c>
    </row>
    <row r="68">
      <c r="A68" s="21" t="inlineStr">
        <is>
          <t>AD_BASE</t>
        </is>
      </c>
      <c r="B68" s="21" t="inlineStr">
        <is>
          <t>2.10</t>
        </is>
      </c>
      <c r="C68" s="21" t="inlineStr">
        <is>
          <t>Athletics Director - base salary</t>
        </is>
      </c>
      <c r="D68" s="21">
        <f>IF('2 Admin Leaders'!E20="","",'2 Admin Leaders'!E20)</f>
        <v/>
      </c>
    </row>
    <row r="69">
      <c r="A69" s="21" t="inlineStr">
        <is>
          <t>AD_BONUS</t>
        </is>
      </c>
      <c r="B69" s="21" t="inlineStr">
        <is>
          <t>2.10</t>
        </is>
      </c>
      <c r="C69" s="21" t="inlineStr">
        <is>
          <t>Athletics Director - bonus paid</t>
        </is>
      </c>
      <c r="D69" s="21">
        <f>IF('2 Admin Leaders'!F20="","",'2 Admin Leaders'!F20)</f>
        <v/>
      </c>
    </row>
    <row r="70">
      <c r="A70" s="21" t="inlineStr">
        <is>
          <t>AD_YEARS</t>
        </is>
      </c>
      <c r="B70" s="21" t="inlineStr">
        <is>
          <t>2.10</t>
        </is>
      </c>
      <c r="C70" s="21" t="inlineStr">
        <is>
          <t>Athletics Director - completed years in role</t>
        </is>
      </c>
      <c r="D70" s="21">
        <f>IF('2 Admin Leaders'!G20="","",'2 Admin Leaders'!G20)</f>
        <v/>
      </c>
    </row>
    <row r="71">
      <c r="A71" s="21" t="inlineStr">
        <is>
          <t>AD_NOTES</t>
        </is>
      </c>
      <c r="B71" s="21" t="inlineStr">
        <is>
          <t>2.10</t>
        </is>
      </c>
      <c r="C71" s="21" t="inlineStr">
        <is>
          <t>Athletics Director - notes</t>
        </is>
      </c>
      <c r="D71" s="21">
        <f>IF('2 Admin Leaders'!H20="","",'2 Admin Leaders'!H20)</f>
        <v/>
      </c>
    </row>
    <row r="72">
      <c r="A72" s="21" t="inlineStr">
        <is>
          <t>CDO_YN</t>
        </is>
      </c>
      <c r="B72" s="21" t="inlineStr">
        <is>
          <t>2.11</t>
        </is>
      </c>
      <c r="C72" s="21" t="inlineStr">
        <is>
          <t>Chief Development Officer - full-time incumbent</t>
        </is>
      </c>
      <c r="D72" s="21">
        <f>IF('2 Admin Leaders'!C21="","",'2 Admin Leaders'!C21)</f>
        <v/>
      </c>
    </row>
    <row r="73">
      <c r="A73" s="21" t="inlineStr">
        <is>
          <t>CDO_REPORTS</t>
        </is>
      </c>
      <c r="B73" s="21" t="inlineStr">
        <is>
          <t>2.11</t>
        </is>
      </c>
      <c r="C73" s="21" t="inlineStr">
        <is>
          <t>Chief Development Officer - reports directly to President / CEO</t>
        </is>
      </c>
      <c r="D73" s="21">
        <f>IF('2 Admin Leaders'!D21="","",'2 Admin Leaders'!D21)</f>
        <v/>
      </c>
    </row>
    <row r="74">
      <c r="A74" s="21" t="inlineStr">
        <is>
          <t>CDO_BASE</t>
        </is>
      </c>
      <c r="B74" s="21" t="inlineStr">
        <is>
          <t>2.11</t>
        </is>
      </c>
      <c r="C74" s="21" t="inlineStr">
        <is>
          <t>Chief Development Officer - base salary</t>
        </is>
      </c>
      <c r="D74" s="21">
        <f>IF('2 Admin Leaders'!E21="","",'2 Admin Leaders'!E21)</f>
        <v/>
      </c>
    </row>
    <row r="75">
      <c r="A75" s="21" t="inlineStr">
        <is>
          <t>CDO_BONUS</t>
        </is>
      </c>
      <c r="B75" s="21" t="inlineStr">
        <is>
          <t>2.11</t>
        </is>
      </c>
      <c r="C75" s="21" t="inlineStr">
        <is>
          <t>Chief Development Officer - bonus paid</t>
        </is>
      </c>
      <c r="D75" s="21">
        <f>IF('2 Admin Leaders'!F21="","",'2 Admin Leaders'!F21)</f>
        <v/>
      </c>
    </row>
    <row r="76">
      <c r="A76" s="21" t="inlineStr">
        <is>
          <t>CDO_YEARS</t>
        </is>
      </c>
      <c r="B76" s="21" t="inlineStr">
        <is>
          <t>2.11</t>
        </is>
      </c>
      <c r="C76" s="21" t="inlineStr">
        <is>
          <t>Chief Development Officer - completed years in role</t>
        </is>
      </c>
      <c r="D76" s="21">
        <f>IF('2 Admin Leaders'!G21="","",'2 Admin Leaders'!G21)</f>
        <v/>
      </c>
    </row>
    <row r="77">
      <c r="A77" s="21" t="inlineStr">
        <is>
          <t>CDO_NOTES</t>
        </is>
      </c>
      <c r="B77" s="21" t="inlineStr">
        <is>
          <t>2.11</t>
        </is>
      </c>
      <c r="C77" s="21" t="inlineStr">
        <is>
          <t>Chief Development Officer - notes</t>
        </is>
      </c>
      <c r="D77" s="21">
        <f>IF('2 Admin Leaders'!H21="","",'2 Admin Leaders'!H21)</f>
        <v/>
      </c>
    </row>
    <row r="78">
      <c r="A78" s="21" t="inlineStr">
        <is>
          <t>CMO_YN</t>
        </is>
      </c>
      <c r="B78" s="21" t="inlineStr">
        <is>
          <t>2.12</t>
        </is>
      </c>
      <c r="C78" s="21" t="inlineStr">
        <is>
          <t>Chief Marketing / Communications Officer - full-time incumbent</t>
        </is>
      </c>
      <c r="D78" s="21">
        <f>IF('2 Admin Leaders'!C22="","",'2 Admin Leaders'!C22)</f>
        <v/>
      </c>
    </row>
    <row r="79">
      <c r="A79" s="21" t="inlineStr">
        <is>
          <t>CMO_REPORTS</t>
        </is>
      </c>
      <c r="B79" s="21" t="inlineStr">
        <is>
          <t>2.12</t>
        </is>
      </c>
      <c r="C79" s="21" t="inlineStr">
        <is>
          <t>Chief Marketing / Communications Officer - reports directly to President / CEO</t>
        </is>
      </c>
      <c r="D79" s="21">
        <f>IF('2 Admin Leaders'!D22="","",'2 Admin Leaders'!D22)</f>
        <v/>
      </c>
    </row>
    <row r="80">
      <c r="A80" s="21" t="inlineStr">
        <is>
          <t>CMO_BASE</t>
        </is>
      </c>
      <c r="B80" s="21" t="inlineStr">
        <is>
          <t>2.12</t>
        </is>
      </c>
      <c r="C80" s="21" t="inlineStr">
        <is>
          <t>Chief Marketing / Communications Officer - base salary</t>
        </is>
      </c>
      <c r="D80" s="21">
        <f>IF('2 Admin Leaders'!E22="","",'2 Admin Leaders'!E22)</f>
        <v/>
      </c>
    </row>
    <row r="81">
      <c r="A81" s="21" t="inlineStr">
        <is>
          <t>CMO_BONUS</t>
        </is>
      </c>
      <c r="B81" s="21" t="inlineStr">
        <is>
          <t>2.12</t>
        </is>
      </c>
      <c r="C81" s="21" t="inlineStr">
        <is>
          <t>Chief Marketing / Communications Officer - bonus paid</t>
        </is>
      </c>
      <c r="D81" s="21">
        <f>IF('2 Admin Leaders'!F22="","",'2 Admin Leaders'!F22)</f>
        <v/>
      </c>
    </row>
    <row r="82">
      <c r="A82" s="21" t="inlineStr">
        <is>
          <t>CMO_YEARS</t>
        </is>
      </c>
      <c r="B82" s="21" t="inlineStr">
        <is>
          <t>2.12</t>
        </is>
      </c>
      <c r="C82" s="21" t="inlineStr">
        <is>
          <t>Chief Marketing / Communications Officer - completed years in role</t>
        </is>
      </c>
      <c r="D82" s="21">
        <f>IF('2 Admin Leaders'!G22="","",'2 Admin Leaders'!G22)</f>
        <v/>
      </c>
    </row>
    <row r="83">
      <c r="A83" s="21" t="inlineStr">
        <is>
          <t>CMO_NOTES</t>
        </is>
      </c>
      <c r="B83" s="21" t="inlineStr">
        <is>
          <t>2.12</t>
        </is>
      </c>
      <c r="C83" s="21" t="inlineStr">
        <is>
          <t>Chief Marketing / Communications Officer - notes</t>
        </is>
      </c>
      <c r="D83" s="21">
        <f>IF('2 Admin Leaders'!H22="","",'2 Admin Leaders'!H22)</f>
        <v/>
      </c>
    </row>
    <row r="84">
      <c r="A84" s="21" t="inlineStr">
        <is>
          <t>COS_YN</t>
        </is>
      </c>
      <c r="B84" s="21" t="inlineStr">
        <is>
          <t>2.13</t>
        </is>
      </c>
      <c r="C84" s="21" t="inlineStr">
        <is>
          <t>Chief of Staff - full-time incumbent</t>
        </is>
      </c>
      <c r="D84" s="21">
        <f>IF('2 Admin Leaders'!C23="","",'2 Admin Leaders'!C23)</f>
        <v/>
      </c>
    </row>
    <row r="85">
      <c r="A85" s="21" t="inlineStr">
        <is>
          <t>COS_REPORTS</t>
        </is>
      </c>
      <c r="B85" s="21" t="inlineStr">
        <is>
          <t>2.13</t>
        </is>
      </c>
      <c r="C85" s="21" t="inlineStr">
        <is>
          <t>Chief of Staff - reports directly to President / CEO</t>
        </is>
      </c>
      <c r="D85" s="21">
        <f>IF('2 Admin Leaders'!D23="","",'2 Admin Leaders'!D23)</f>
        <v/>
      </c>
    </row>
    <row r="86">
      <c r="A86" s="21" t="inlineStr">
        <is>
          <t>COS_BASE</t>
        </is>
      </c>
      <c r="B86" s="21" t="inlineStr">
        <is>
          <t>2.13</t>
        </is>
      </c>
      <c r="C86" s="21" t="inlineStr">
        <is>
          <t>Chief of Staff - base salary</t>
        </is>
      </c>
      <c r="D86" s="21">
        <f>IF('2 Admin Leaders'!E23="","",'2 Admin Leaders'!E23)</f>
        <v/>
      </c>
    </row>
    <row r="87">
      <c r="A87" s="21" t="inlineStr">
        <is>
          <t>COS_BONUS</t>
        </is>
      </c>
      <c r="B87" s="21" t="inlineStr">
        <is>
          <t>2.13</t>
        </is>
      </c>
      <c r="C87" s="21" t="inlineStr">
        <is>
          <t>Chief of Staff - bonus paid</t>
        </is>
      </c>
      <c r="D87" s="21">
        <f>IF('2 Admin Leaders'!F23="","",'2 Admin Leaders'!F23)</f>
        <v/>
      </c>
    </row>
    <row r="88">
      <c r="A88" s="21" t="inlineStr">
        <is>
          <t>COS_YEARS</t>
        </is>
      </c>
      <c r="B88" s="21" t="inlineStr">
        <is>
          <t>2.13</t>
        </is>
      </c>
      <c r="C88" s="21" t="inlineStr">
        <is>
          <t>Chief of Staff - completed years in role</t>
        </is>
      </c>
      <c r="D88" s="21">
        <f>IF('2 Admin Leaders'!G23="","",'2 Admin Leaders'!G23)</f>
        <v/>
      </c>
    </row>
    <row r="89">
      <c r="A89" s="21" t="inlineStr">
        <is>
          <t>COS_NOTES</t>
        </is>
      </c>
      <c r="B89" s="21" t="inlineStr">
        <is>
          <t>2.13</t>
        </is>
      </c>
      <c r="C89" s="21" t="inlineStr">
        <is>
          <t>Chief of Staff - notes</t>
        </is>
      </c>
      <c r="D89" s="21">
        <f>IF('2 Admin Leaders'!H23="","",'2 Admin Leaders'!H23)</f>
        <v/>
      </c>
    </row>
    <row r="90">
      <c r="A90" s="21" t="inlineStr">
        <is>
          <t>GC_YN</t>
        </is>
      </c>
      <c r="B90" s="21" t="inlineStr">
        <is>
          <t>2.14</t>
        </is>
      </c>
      <c r="C90" s="21" t="inlineStr">
        <is>
          <t>General Counsel - full-time incumbent</t>
        </is>
      </c>
      <c r="D90" s="21">
        <f>IF('2 Admin Leaders'!C24="","",'2 Admin Leaders'!C24)</f>
        <v/>
      </c>
    </row>
    <row r="91">
      <c r="A91" s="21" t="inlineStr">
        <is>
          <t>GC_REPORTS</t>
        </is>
      </c>
      <c r="B91" s="21" t="inlineStr">
        <is>
          <t>2.14</t>
        </is>
      </c>
      <c r="C91" s="21" t="inlineStr">
        <is>
          <t>General Counsel - reports directly to President / CEO</t>
        </is>
      </c>
      <c r="D91" s="21">
        <f>IF('2 Admin Leaders'!D24="","",'2 Admin Leaders'!D24)</f>
        <v/>
      </c>
    </row>
    <row r="92">
      <c r="A92" s="21" t="inlineStr">
        <is>
          <t>GC_BASE</t>
        </is>
      </c>
      <c r="B92" s="21" t="inlineStr">
        <is>
          <t>2.14</t>
        </is>
      </c>
      <c r="C92" s="21" t="inlineStr">
        <is>
          <t>General Counsel - base salary</t>
        </is>
      </c>
      <c r="D92" s="21">
        <f>IF('2 Admin Leaders'!E24="","",'2 Admin Leaders'!E24)</f>
        <v/>
      </c>
    </row>
    <row r="93">
      <c r="A93" s="21" t="inlineStr">
        <is>
          <t>GC_BONUS</t>
        </is>
      </c>
      <c r="B93" s="21" t="inlineStr">
        <is>
          <t>2.14</t>
        </is>
      </c>
      <c r="C93" s="21" t="inlineStr">
        <is>
          <t>General Counsel - bonus paid</t>
        </is>
      </c>
      <c r="D93" s="21">
        <f>IF('2 Admin Leaders'!F24="","",'2 Admin Leaders'!F24)</f>
        <v/>
      </c>
    </row>
    <row r="94">
      <c r="A94" s="21" t="inlineStr">
        <is>
          <t>GC_YEARS</t>
        </is>
      </c>
      <c r="B94" s="21" t="inlineStr">
        <is>
          <t>2.14</t>
        </is>
      </c>
      <c r="C94" s="21" t="inlineStr">
        <is>
          <t>General Counsel - completed years in role</t>
        </is>
      </c>
      <c r="D94" s="21">
        <f>IF('2 Admin Leaders'!G24="","",'2 Admin Leaders'!G24)</f>
        <v/>
      </c>
    </row>
    <row r="95">
      <c r="A95" s="21" t="inlineStr">
        <is>
          <t>GC_NOTES</t>
        </is>
      </c>
      <c r="B95" s="21" t="inlineStr">
        <is>
          <t>2.14</t>
        </is>
      </c>
      <c r="C95" s="21" t="inlineStr">
        <is>
          <t>General Counsel - notes</t>
        </is>
      </c>
      <c r="D95" s="21">
        <f>IF('2 Admin Leaders'!H24="","",'2 Admin Leaders'!H24)</f>
        <v/>
      </c>
    </row>
    <row r="96">
      <c r="A96" s="21" t="inlineStr">
        <is>
          <t>BASE</t>
        </is>
      </c>
      <c r="B96" s="21" t="inlineStr">
        <is>
          <t>3A.1</t>
        </is>
      </c>
      <c r="C96" s="21" t="inlineStr">
        <is>
          <t>President / CEO annual base salary as of October 1, 2026 ($)</t>
        </is>
      </c>
      <c r="D96" s="21">
        <f>IF('3 President'!C7="","",'3 President'!C7)</f>
        <v/>
      </c>
    </row>
    <row r="97">
      <c r="A97" s="21" t="inlineStr">
        <is>
          <t>BONUS_THIS_YN</t>
        </is>
      </c>
      <c r="B97" s="21" t="inlineStr">
        <is>
          <t>3A.2</t>
        </is>
      </c>
      <c r="C97" s="21" t="inlineStr">
        <is>
          <t>Does the President / CEO have an annual bonus or incentive opportunity this year (FY 2026-27)?</t>
        </is>
      </c>
      <c r="D97" s="21">
        <f>IF('3 President'!C8="","",'3 President'!C8)</f>
        <v/>
      </c>
    </row>
    <row r="98">
      <c r="A98" s="21" t="inlineStr">
        <is>
          <t>BONUS_THIS_PCT</t>
        </is>
      </c>
      <c r="B98" s="21" t="inlineStr">
        <is>
          <t>3A.3</t>
        </is>
      </c>
      <c r="C98" s="21" t="inlineStr">
        <is>
          <t>This year's maximum bonus opportunity, as a percentage of base salary</t>
        </is>
      </c>
      <c r="D98" s="21">
        <f>IF('3 President'!C9="","",'3 President'!C9)</f>
        <v/>
      </c>
    </row>
    <row r="99">
      <c r="A99" s="21" t="inlineStr">
        <is>
          <t>BONUS_LAST_YN</t>
        </is>
      </c>
      <c r="B99" s="21" t="inlineStr">
        <is>
          <t>3A.4</t>
        </is>
      </c>
      <c r="C99" s="21" t="inlineStr">
        <is>
          <t>Did the President / CEO have an annual bonus or incentive opportunity last year (FY 2025-26)?</t>
        </is>
      </c>
      <c r="D99" s="21">
        <f>IF('3 President'!C10="","",'3 President'!C10)</f>
        <v/>
      </c>
    </row>
    <row r="100">
      <c r="A100" s="21" t="inlineStr">
        <is>
          <t>BONUS_LAST_AMT</t>
        </is>
      </c>
      <c r="B100" s="21" t="inlineStr">
        <is>
          <t>3A.5</t>
        </is>
      </c>
      <c r="C100" s="21" t="inlineStr">
        <is>
          <t>Bonus paid for last year (FY 2025-26) ($)</t>
        </is>
      </c>
      <c r="D100" s="21">
        <f>IF('3 President'!C11="","",'3 President'!C11)</f>
        <v/>
      </c>
    </row>
    <row r="101">
      <c r="A101" s="21" t="inlineStr">
        <is>
          <t>BONUS_CRITERIA</t>
        </is>
      </c>
      <c r="B101" s="21" t="inlineStr">
        <is>
          <t>3A.6</t>
        </is>
      </c>
      <c r="C101" s="21" t="inlineStr">
        <is>
          <t>How was last year's bonus amount determined?</t>
        </is>
      </c>
      <c r="D101" s="21">
        <f>IF('3 President'!C12="","",'3 President'!C12)</f>
        <v/>
      </c>
    </row>
    <row r="102">
      <c r="A102" s="21" t="inlineStr">
        <is>
          <t>BONUS_CRITERIA_TEXT</t>
        </is>
      </c>
      <c r="B102" s="21" t="inlineStr">
        <is>
          <t>3A.7</t>
        </is>
      </c>
      <c r="C102" s="21" t="inlineStr">
        <is>
          <t>Describe how the bonus was determined</t>
        </is>
      </c>
      <c r="D102" s="21">
        <f>IF('3 President'!C13="","",'3 President'!C13)</f>
        <v/>
      </c>
    </row>
    <row r="103">
      <c r="A103" s="21" t="inlineStr">
        <is>
          <t>DEFERRED_STD_PCT</t>
        </is>
      </c>
      <c r="B103" s="21" t="inlineStr">
        <is>
          <t>3B.1</t>
        </is>
      </c>
      <c r="C103" s="21" t="inlineStr">
        <is>
          <t>Employer contribution to the standard retirement plan available to all employees, as a percentage of the President / CEO's base salary</t>
        </is>
      </c>
      <c r="D103" s="21">
        <f>IF('3 President'!C15="","",'3 President'!C15)</f>
        <v/>
      </c>
    </row>
    <row r="104">
      <c r="A104" s="21" t="inlineStr">
        <is>
          <t>DEFERRED_SUPP_AMT</t>
        </is>
      </c>
      <c r="B104" s="21" t="inlineStr">
        <is>
          <t>3B.2</t>
        </is>
      </c>
      <c r="C104" s="21" t="inlineStr">
        <is>
          <t>Annual employer contribution to supplemental or executive plans - 457(b), 457(f), SERP ($)</t>
        </is>
      </c>
      <c r="D104" s="21">
        <f>IF('3 President'!C16="","",'3 President'!C16)</f>
        <v/>
      </c>
    </row>
    <row r="105">
      <c r="A105" s="21" t="inlineStr">
        <is>
          <t>BEN_HOUSING</t>
        </is>
      </c>
      <c r="B105" s="21" t="inlineStr">
        <is>
          <t>3B.3</t>
        </is>
      </c>
      <c r="C105" s="21" t="inlineStr">
        <is>
          <t>Housing or housing allowance ($)</t>
        </is>
      </c>
      <c r="D105" s="21">
        <f>IF('3 President'!C17="","",'3 President'!C17)</f>
        <v/>
      </c>
    </row>
    <row r="106">
      <c r="A106" s="21" t="inlineStr">
        <is>
          <t>BEN_VEHICLE</t>
        </is>
      </c>
      <c r="B106" s="21" t="inlineStr">
        <is>
          <t>3B.4</t>
        </is>
      </c>
      <c r="C106" s="21" t="inlineStr">
        <is>
          <t>Vehicle or vehicle allowance ($)</t>
        </is>
      </c>
      <c r="D106" s="21">
        <f>IF('3 President'!C18="","",'3 President'!C18)</f>
        <v/>
      </c>
    </row>
    <row r="107">
      <c r="A107" s="21" t="inlineStr">
        <is>
          <t>BEN_CLUB</t>
        </is>
      </c>
      <c r="B107" s="21" t="inlineStr">
        <is>
          <t>3B.5</t>
        </is>
      </c>
      <c r="C107" s="21" t="inlineStr">
        <is>
          <t>Health and social club dues ($)</t>
        </is>
      </c>
      <c r="D107" s="21">
        <f>IF('3 President'!C19="","",'3 President'!C19)</f>
        <v/>
      </c>
    </row>
    <row r="108">
      <c r="A108" s="21" t="inlineStr">
        <is>
          <t>BEN_PHYSICAL</t>
        </is>
      </c>
      <c r="B108" s="21" t="inlineStr">
        <is>
          <t>3B.6</t>
        </is>
      </c>
      <c r="C108" s="21" t="inlineStr">
        <is>
          <t>Executive physical or wellness allowance ($)</t>
        </is>
      </c>
      <c r="D108" s="21">
        <f>IF('3 President'!C20="","",'3 President'!C20)</f>
        <v/>
      </c>
    </row>
    <row r="109">
      <c r="A109" s="21" t="inlineStr">
        <is>
          <t>BEN_TUITION</t>
        </is>
      </c>
      <c r="B109" s="21" t="inlineStr">
        <is>
          <t>3B.7</t>
        </is>
      </c>
      <c r="C109" s="21" t="inlineStr">
        <is>
          <t>Dependent tuition ($)</t>
        </is>
      </c>
      <c r="D109" s="21">
        <f>IF('3 President'!C21="","",'3 President'!C21)</f>
        <v/>
      </c>
    </row>
    <row r="110">
      <c r="A110" s="21" t="inlineStr">
        <is>
          <t>BEN_PHONE</t>
        </is>
      </c>
      <c r="B110" s="21" t="inlineStr">
        <is>
          <t>3B.8</t>
        </is>
      </c>
      <c r="C110" s="21" t="inlineStr">
        <is>
          <t>Phone or technology allowance ($)</t>
        </is>
      </c>
      <c r="D110" s="21">
        <f>IF('3 President'!C22="","",'3 President'!C22)</f>
        <v/>
      </c>
    </row>
    <row r="111">
      <c r="A111" s="21" t="inlineStr">
        <is>
          <t>BEN_LIFE_PREMIUM</t>
        </is>
      </c>
      <c r="B111" s="21" t="inlineStr">
        <is>
          <t>3B.9</t>
        </is>
      </c>
      <c r="C111" s="21" t="inlineStr">
        <is>
          <t>Executive life insurance - annual premium ($)</t>
        </is>
      </c>
      <c r="D111" s="21">
        <f>IF('3 President'!C23="","",'3 President'!C23)</f>
        <v/>
      </c>
    </row>
    <row r="112">
      <c r="A112" s="21" t="inlineStr">
        <is>
          <t>BEN_LIFE_FACE</t>
        </is>
      </c>
      <c r="B112" s="21" t="inlineStr">
        <is>
          <t>3B.10</t>
        </is>
      </c>
      <c r="C112" s="21" t="inlineStr">
        <is>
          <t>Executive life insurance - coverage (face) amount ($)</t>
        </is>
      </c>
      <c r="D112" s="21">
        <f>IF('3 President'!C24="","",'3 President'!C24)</f>
        <v/>
      </c>
    </row>
    <row r="113">
      <c r="A113" s="21" t="inlineStr">
        <is>
          <t>BEN_DISABILITY_PREMIUM</t>
        </is>
      </c>
      <c r="B113" s="21" t="inlineStr">
        <is>
          <t>3B.11</t>
        </is>
      </c>
      <c r="C113" s="21" t="inlineStr">
        <is>
          <t>Executive disability insurance - annual premium ($)</t>
        </is>
      </c>
      <c r="D113" s="21">
        <f>IF('3 President'!C25="","",'3 President'!C25)</f>
        <v/>
      </c>
    </row>
    <row r="114">
      <c r="A114" s="21" t="inlineStr">
        <is>
          <t>BEN_OTHER</t>
        </is>
      </c>
      <c r="B114" s="21" t="inlineStr">
        <is>
          <t>3B.12</t>
        </is>
      </c>
      <c r="C114" s="21" t="inlineStr">
        <is>
          <t>Other supplemental benefits - total annual value ($)</t>
        </is>
      </c>
      <c r="D114" s="21">
        <f>IF('3 President'!C26="","",'3 President'!C26)</f>
        <v/>
      </c>
    </row>
    <row r="115">
      <c r="A115" s="21" t="inlineStr">
        <is>
          <t>BEN_OTHER_TEXT</t>
        </is>
      </c>
      <c r="B115" s="21" t="inlineStr">
        <is>
          <t>3B.13</t>
        </is>
      </c>
      <c r="C115" s="21" t="inlineStr">
        <is>
          <t>Describe the other supplemental benefits</t>
        </is>
      </c>
      <c r="D115" s="21">
        <f>IF('3 President'!C27="","",'3 President'!C27)</f>
        <v/>
      </c>
    </row>
    <row r="116">
      <c r="A116" s="21" t="inlineStr">
        <is>
          <t>PRES_YEARS_HERE</t>
        </is>
      </c>
      <c r="B116" s="21" t="inlineStr">
        <is>
          <t>3C.1</t>
        </is>
      </c>
      <c r="C116" s="21" t="inlineStr">
        <is>
          <t>Completed years as President / CEO at this institution</t>
        </is>
      </c>
      <c r="D116" s="21">
        <f>IF('3 President'!C29="","",'3 President'!C29)</f>
        <v/>
      </c>
    </row>
    <row r="117">
      <c r="A117" s="21" t="inlineStr">
        <is>
          <t>PRES_YEARS_PRIOR</t>
        </is>
      </c>
      <c r="B117" s="21" t="inlineStr">
        <is>
          <t>3C.2</t>
        </is>
      </c>
      <c r="C117" s="21" t="inlineStr">
        <is>
          <t>Completed years as a President / CEO at other institutions of higher education before this one</t>
        </is>
      </c>
      <c r="D117" s="21">
        <f>IF('3 President'!C30="","",'3 President'!C30)</f>
        <v/>
      </c>
    </row>
    <row r="118">
      <c r="A118" s="21" t="inlineStr">
        <is>
          <t>CONTRACT_YN</t>
        </is>
      </c>
      <c r="B118" s="21" t="inlineStr">
        <is>
          <t>3C.3</t>
        </is>
      </c>
      <c r="C118" s="21" t="inlineStr">
        <is>
          <t>Does the President / CEO have an employment contract for this role?</t>
        </is>
      </c>
      <c r="D118" s="21">
        <f>IF('3 President'!C31="","",'3 President'!C31)</f>
        <v/>
      </c>
    </row>
    <row r="119">
      <c r="A119" s="21" t="inlineStr">
        <is>
          <t>CONTRACT_TYPE</t>
        </is>
      </c>
      <c r="B119" s="21" t="inlineStr">
        <is>
          <t>3C.4</t>
        </is>
      </c>
      <c r="C119" s="21" t="inlineStr">
        <is>
          <t>What type of contract does the President / CEO have?</t>
        </is>
      </c>
      <c r="D119" s="21">
        <f>IF('3 President'!C32="","",'3 President'!C32)</f>
        <v/>
      </c>
    </row>
    <row r="120">
      <c r="A120" s="21" t="inlineStr">
        <is>
          <t>CONTRACT_TYPE_TEXT</t>
        </is>
      </c>
      <c r="B120" s="21" t="inlineStr">
        <is>
          <t>3C.5</t>
        </is>
      </c>
      <c r="C120" s="21" t="inlineStr">
        <is>
          <t>Describe the contract type</t>
        </is>
      </c>
      <c r="D120" s="21">
        <f>IF('3 President'!C33="","",'3 President'!C33)</f>
        <v/>
      </c>
    </row>
    <row r="121">
      <c r="A121" s="21" t="inlineStr">
        <is>
          <t>CONTRACT_LENGTH</t>
        </is>
      </c>
      <c r="B121" s="21" t="inlineStr">
        <is>
          <t>3C.6</t>
        </is>
      </c>
      <c r="C121" s="21" t="inlineStr">
        <is>
          <t>Term of the current contract, in years</t>
        </is>
      </c>
      <c r="D121" s="21">
        <f>IF('3 President'!C34="","",'3 President'!C34)</f>
        <v/>
      </c>
    </row>
    <row r="122">
      <c r="A122" s="21" t="inlineStr">
        <is>
          <t>CONTRACT_SEVER_YN</t>
        </is>
      </c>
      <c r="B122" s="21" t="inlineStr">
        <is>
          <t>3C.7</t>
        </is>
      </c>
      <c r="C122" s="21" t="inlineStr">
        <is>
          <t>Does the contract have a severance provision for termination without cause?</t>
        </is>
      </c>
      <c r="D122" s="21">
        <f>IF('3 President'!C35="","",'3 President'!C35)</f>
        <v/>
      </c>
    </row>
    <row r="123">
      <c r="A123" s="21" t="inlineStr">
        <is>
          <t>SEVER_PAY_BASIS</t>
        </is>
      </c>
      <c r="B123" s="21" t="inlineStr">
        <is>
          <t>3C.8</t>
        </is>
      </c>
      <c r="C123" s="21" t="inlineStr">
        <is>
          <t>What is the payment basis for severance?</t>
        </is>
      </c>
      <c r="D123" s="21">
        <f>IF('3 President'!C36="","",'3 President'!C36)</f>
        <v/>
      </c>
    </row>
    <row r="124">
      <c r="A124" s="21" t="inlineStr">
        <is>
          <t>SEVER_PAY_BASIS_TEXT</t>
        </is>
      </c>
      <c r="B124" s="21" t="inlineStr">
        <is>
          <t>3C.9</t>
        </is>
      </c>
      <c r="C124" s="21" t="inlineStr">
        <is>
          <t>Describe the severance payment basis</t>
        </is>
      </c>
      <c r="D124" s="21">
        <f>IF('3 President'!C37="","",'3 President'!C37)</f>
        <v/>
      </c>
    </row>
    <row r="125">
      <c r="A125" s="21" t="inlineStr">
        <is>
          <t>SEVER_TERM</t>
        </is>
      </c>
      <c r="B125" s="21" t="inlineStr">
        <is>
          <t>3C.10</t>
        </is>
      </c>
      <c r="C125" s="21" t="inlineStr">
        <is>
          <t>Severance term, in months</t>
        </is>
      </c>
      <c r="D125" s="21">
        <f>IF('3 President'!C38="","",'3 President'!C38)</f>
        <v/>
      </c>
    </row>
    <row r="126">
      <c r="A126" s="21" t="inlineStr">
        <is>
          <t>PRES_TENURE_YN</t>
        </is>
      </c>
      <c r="B126" s="21" t="inlineStr">
        <is>
          <t>3C.11</t>
        </is>
      </c>
      <c r="C126" s="21" t="inlineStr">
        <is>
          <t>Does the President / CEO have tenure?</t>
        </is>
      </c>
      <c r="D126" s="21">
        <f>IF('3 President'!C39="","",'3 President'!C39)</f>
        <v/>
      </c>
    </row>
    <row r="127">
      <c r="A127" s="21" t="inlineStr">
        <is>
          <t>PRES_SABBATICAL_YN</t>
        </is>
      </c>
      <c r="B127" s="21" t="inlineStr">
        <is>
          <t>3C.12</t>
        </is>
      </c>
      <c r="C127" s="21" t="inlineStr">
        <is>
          <t>Is the President / CEO eligible for sabbatical leave?</t>
        </is>
      </c>
      <c r="D127" s="21">
        <f>IF('3 President'!C40="","",'3 President'!C40)</f>
        <v/>
      </c>
    </row>
    <row r="128">
      <c r="A128" s="21" t="inlineStr">
        <is>
          <t>SABBATICAL_POLICY</t>
        </is>
      </c>
      <c r="B128" s="21" t="inlineStr">
        <is>
          <t>3C.13</t>
        </is>
      </c>
      <c r="C128" s="21" t="inlineStr">
        <is>
          <t>What is the sabbatical leave policy?</t>
        </is>
      </c>
      <c r="D128" s="21">
        <f>IF('3 President'!C41="","",'3 President'!C41)</f>
        <v/>
      </c>
    </row>
    <row r="129">
      <c r="A129" s="21" t="inlineStr">
        <is>
          <t>SPOUSE_ROLE</t>
        </is>
      </c>
      <c r="B129" s="21" t="inlineStr">
        <is>
          <t>4.1</t>
        </is>
      </c>
      <c r="C129" s="21" t="inlineStr">
        <is>
          <t>Which category best describes the role of the President / CEO's spouse at the institution?</t>
        </is>
      </c>
      <c r="D129" s="21">
        <f>IF('4 Additional'!C6="","",'4 Additional'!C6)</f>
        <v/>
      </c>
    </row>
    <row r="130">
      <c r="A130" s="21" t="inlineStr">
        <is>
          <t>SPOUSE_COMP</t>
        </is>
      </c>
      <c r="B130" s="21" t="inlineStr">
        <is>
          <t>4.2</t>
        </is>
      </c>
      <c r="C130" s="21" t="inlineStr">
        <is>
          <t>Annual compensation paid to the spouse by the institution ($)</t>
        </is>
      </c>
      <c r="D130" s="21">
        <f>IF('4 Additional'!C7="","",'4 Additional'!C7)</f>
        <v/>
      </c>
    </row>
    <row r="131">
      <c r="A131" s="21" t="inlineStr">
        <is>
          <t>ADDITIONAL</t>
        </is>
      </c>
      <c r="B131" s="21" t="inlineStr">
        <is>
          <t>4.3</t>
        </is>
      </c>
      <c r="C131" s="21" t="inlineStr">
        <is>
          <t>Anything needed to explain or put in context executive compensation practices at your institution</t>
        </is>
      </c>
      <c r="D131" s="21">
        <f>IF('4 Additional'!C8="","",'4 Additional'!C8)</f>
        <v/>
      </c>
    </row>
    <row r="132">
      <c r="A132" s="21" t="inlineStr">
        <is>
          <t>SUGGESTIONS</t>
        </is>
      </c>
      <c r="B132" s="21" t="inlineStr">
        <is>
          <t>4.4</t>
        </is>
      </c>
      <c r="C132" s="21" t="inlineStr">
        <is>
          <t>Suggestions for improving next year's survey</t>
        </is>
      </c>
      <c r="D132" s="21">
        <f>IF('4 Additional'!C9="","",'4 Additional'!C9)</f>
        <v/>
      </c>
    </row>
  </sheetData>
  <sheetProtection selectLockedCells="0" selectUnlockedCells="0" sheet="1" objects="0" insertRows="1" insertHyperlinks="1" autoFilter="1" scenarios="0" formatColumns="0" deleteColumns="1" insertColumns="1" pivotTables="1" deleteRows="1" formatCells="1" formatRows="0" sort="1" password="D8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2026-10-07T14:09:20Z</dcterms:created>
  <dcterms:modified xmlns:dcterms="http://purl.org/dc/terms/" xmlns:xsi="http://www.w3.org/2001/XMLSchema-instance" xsi:type="dcterms:W3CDTF">2026-10-07T14:09:21Z</dcterms:modified>
</cp:coreProperties>
</file>